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davey/Desktop/"/>
    </mc:Choice>
  </mc:AlternateContent>
  <xr:revisionPtr revIDLastSave="0" documentId="8_{AC28FD2D-4AA4-1F44-890B-6252B3C5977E}" xr6:coauthVersionLast="47" xr6:coauthVersionMax="47" xr10:uidLastSave="{00000000-0000-0000-0000-000000000000}"/>
  <bookViews>
    <workbookView xWindow="4420" yWindow="1660" windowWidth="24980" windowHeight="16020" activeTab="2" xr2:uid="{BA879FAE-9749-CA46-9345-BE0DE6592F67}"/>
  </bookViews>
  <sheets>
    <sheet name="Data" sheetId="1" r:id="rId1"/>
    <sheet name="Indicators" sheetId="3" r:id="rId2"/>
    <sheet name="Stat Analysis" sheetId="2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3" i="1" l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</calcChain>
</file>

<file path=xl/sharedStrings.xml><?xml version="1.0" encoding="utf-8"?>
<sst xmlns="http://schemas.openxmlformats.org/spreadsheetml/2006/main" count="111" uniqueCount="73">
  <si>
    <t>Cluster Analysis</t>
  </si>
  <si>
    <t>Inclusion Indicators</t>
  </si>
  <si>
    <t>Properties</t>
  </si>
  <si>
    <t>Assemblage</t>
  </si>
  <si>
    <t>Sum of columns C-Q, divided by 15</t>
  </si>
  <si>
    <t>ID</t>
  </si>
  <si>
    <t>Cluster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</si>
  <si>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</si>
  <si>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</si>
  <si>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</si>
  <si>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</si>
  <si>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</si>
  <si>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</si>
  <si>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</si>
  <si>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</si>
  <si>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</si>
  <si>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</si>
  <si>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</si>
  <si>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</si>
  <si>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</si>
  <si>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</si>
  <si>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</si>
  <si>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Inclusion Strength</t>
  </si>
  <si>
    <t>Organisation</t>
  </si>
  <si>
    <t>What is shared</t>
  </si>
  <si>
    <t>How it is Shared</t>
  </si>
  <si>
    <t xml:space="preserve">Digital Share </t>
  </si>
  <si>
    <t>urban/rural</t>
  </si>
  <si>
    <t>Nutrition Indicator</t>
  </si>
  <si>
    <t>6;7</t>
  </si>
  <si>
    <t>1;3;4;5;7</t>
  </si>
  <si>
    <t>2;7</t>
  </si>
  <si>
    <t>1;2;3;4;5;6;7;8</t>
  </si>
  <si>
    <t>1;2;3;4;5;6;7</t>
  </si>
  <si>
    <t>1;2;7</t>
  </si>
  <si>
    <t>2;6;8</t>
  </si>
  <si>
    <t>6;6</t>
  </si>
  <si>
    <t>1;2</t>
  </si>
  <si>
    <t xml:space="preserve">A, B </t>
  </si>
  <si>
    <t>2;6</t>
  </si>
  <si>
    <t>1;4</t>
  </si>
  <si>
    <t>Table 1</t>
  </si>
  <si>
    <t>Variable</t>
  </si>
  <si>
    <t>Value</t>
  </si>
  <si>
    <t>Df</t>
  </si>
  <si>
    <t>Asymptotic Significance (2-sided)</t>
  </si>
  <si>
    <t>Digital Share</t>
  </si>
  <si>
    <t xml:space="preserve">Nutrition Indicator </t>
  </si>
  <si>
    <t xml:space="preserve">Indicator Scoring  </t>
  </si>
  <si>
    <t>Score</t>
  </si>
  <si>
    <t>Description</t>
  </si>
  <si>
    <t>Minimal evidence</t>
  </si>
  <si>
    <t>Indirect or inconsistent evidence</t>
  </si>
  <si>
    <t>Moderate and somewhat clear evidence</t>
  </si>
  <si>
    <t>Strong evidence</t>
  </si>
  <si>
    <t>Very strong, well-documented evidence</t>
  </si>
  <si>
    <t>Indicator Code</t>
  </si>
  <si>
    <t>Indicator Description</t>
  </si>
  <si>
    <t>1.1 Targeted access to land, tools, or infrastructure</t>
  </si>
  <si>
    <t>1.2 Provision of services for excluded participants</t>
  </si>
  <si>
    <t>1.3 Accessibility of services and spaces</t>
  </si>
  <si>
    <t>2.1 Representation in decision-making</t>
  </si>
  <si>
    <t>2.2 Participation in design/implementation of initiatives</t>
  </si>
  <si>
    <t>2.3 Involvement in governance platforms</t>
  </si>
  <si>
    <t>3.1 Commitment to equity/anti-discrimination</t>
  </si>
  <si>
    <t>3.2 Use of disaggregated demographic data</t>
  </si>
  <si>
    <t>3.3 Targeted inclusion of marginalised groups</t>
  </si>
  <si>
    <t>4.1 Skills-building opportunities</t>
  </si>
  <si>
    <t>4.2 Increased participant leadership roles or responsibilities</t>
  </si>
  <si>
    <t>4.3 Support for income-generating activities</t>
  </si>
  <si>
    <t>5.1 Circular/sustainable practices</t>
  </si>
  <si>
    <t>5.2 Continuity/resilience planning</t>
  </si>
  <si>
    <t>5.3 Integration with wider food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</si>
</sst>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/>
    <xf numFmtId="2" fontId="3" fillId="0" borderId="8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12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/>
        <bottom/>
      </border>
    </dxf>
    <dxf>
      <border outline="0">
        <right style="medium">
          <color theme="0" tint="-0.34998626667073579"/>
        </right>
      </border>
    </dxf>
    <dxf>
      <font>
        <b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lairedavey/Desktop/Data_ThesisProject%20(1).xlsx" TargetMode="External"/><Relationship Id="rId1" Type="http://schemas.openxmlformats.org/officeDocument/2006/relationships/externalLinkPath" Target="Data_ThesisProjec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PSS"/>
      <sheetName val="Sheet2"/>
      <sheetName val="Sheet4"/>
      <sheetName val="Indicators &amp; Examples"/>
      <sheetName val="Scoring"/>
      <sheetName val="What Is Shared"/>
      <sheetName val="Indicators and coding strengh"/>
      <sheetName val="Indicator results"/>
      <sheetName val="Organisation"/>
      <sheetName val="How its Shared"/>
      <sheetName val="Whats shared"/>
      <sheetName val="Clusters"/>
      <sheetName val="Urban Rural"/>
      <sheetName val="Assemblage"/>
      <sheetName val="Nutrition Indicator"/>
      <sheetName val="Digital Share"/>
    </sheetNames>
    <sheetDataSet>
      <sheetData sheetId="0" refreshError="1">
        <row r="1">
          <cell r="A1" t="str">
            <v>ID</v>
          </cell>
          <cell r="L1" t="str">
            <v>Assemblage Links</v>
          </cell>
        </row>
        <row r="2">
          <cell r="A2">
            <v>2</v>
          </cell>
          <cell r="L2" t="str">
            <v>25;28;38;45;46;47;48;49;4;8;12;13;14;2;17;16;2;19;20;21;28;35</v>
          </cell>
        </row>
        <row r="3">
          <cell r="A3">
            <v>3</v>
          </cell>
          <cell r="L3" t="str">
            <v>5;7;11;16;17;22;30</v>
          </cell>
        </row>
        <row r="4">
          <cell r="A4">
            <v>4</v>
          </cell>
          <cell r="L4" t="str">
            <v>25;28;38;45;46;47;48;49;4;8;12;13;14;2;17;16;2;19;20;21;28;35</v>
          </cell>
        </row>
        <row r="5">
          <cell r="A5">
            <v>5</v>
          </cell>
          <cell r="L5" t="str">
            <v>3;16;</v>
          </cell>
        </row>
        <row r="6">
          <cell r="A6">
            <v>6</v>
          </cell>
        </row>
        <row r="7">
          <cell r="A7">
            <v>7</v>
          </cell>
          <cell r="L7" t="str">
            <v xml:space="preserve">3; </v>
          </cell>
        </row>
        <row r="8">
          <cell r="A8">
            <v>8</v>
          </cell>
          <cell r="L8" t="str">
            <v>25;28;38;45;46;47;48;49;4;8;12;13;14;2;17;16;2;19;20;21;28;35;2</v>
          </cell>
        </row>
        <row r="9">
          <cell r="A9">
            <v>9</v>
          </cell>
          <cell r="L9" t="str">
            <v>54;</v>
          </cell>
        </row>
        <row r="10">
          <cell r="A10">
            <v>10</v>
          </cell>
          <cell r="L10" t="str">
            <v>3;8;16;49;52;</v>
          </cell>
        </row>
        <row r="11">
          <cell r="A11">
            <v>11</v>
          </cell>
          <cell r="L11" t="str">
            <v>4;8;16;35;13;14;25;44;45;46;47;</v>
          </cell>
        </row>
        <row r="12">
          <cell r="A12">
            <v>12</v>
          </cell>
          <cell r="L12" t="str">
            <v>4;8;11;13;14;16;25;35;44;46;47;</v>
          </cell>
        </row>
        <row r="13">
          <cell r="A13">
            <v>13</v>
          </cell>
          <cell r="L13" t="str">
            <v>25;28;38;45;46;47;48;49;4;8;12;13;14;2;17;16;2;19;20;21;28;35</v>
          </cell>
        </row>
        <row r="14">
          <cell r="A14">
            <v>14</v>
          </cell>
          <cell r="L14" t="str">
            <v>25;28;38;45;46;47;48;49;4;8;12;13;14;2;17;16;2;19;20;21;28;35</v>
          </cell>
        </row>
        <row r="15">
          <cell r="A15">
            <v>15</v>
          </cell>
          <cell r="L15" t="str">
            <v xml:space="preserve">17; 20; </v>
          </cell>
        </row>
        <row r="16">
          <cell r="A16">
            <v>16</v>
          </cell>
          <cell r="L16" t="str">
            <v>2;3;22;30;45;25;28;38;45;46;47;48;49;4;8;12;13;14;2;17;16;2;19;20;21;28;35</v>
          </cell>
        </row>
        <row r="17">
          <cell r="A17">
            <v>17</v>
          </cell>
          <cell r="L17" t="str">
            <v>25;28;38;45;46;47;48;49;4;8;12;13;14;2;17;16;2;19;20;21;28;35;2;3;8;15;22;23;24;31;</v>
          </cell>
        </row>
        <row r="18">
          <cell r="A18">
            <v>18</v>
          </cell>
          <cell r="L18" t="str">
            <v xml:space="preserve">32; </v>
          </cell>
        </row>
        <row r="19">
          <cell r="A19">
            <v>19</v>
          </cell>
          <cell r="L19" t="str">
            <v>25;28;38;45;46;47;48;49;4;8;12;13;14;2;17;16;2;19;20;21;28;35</v>
          </cell>
        </row>
        <row r="20">
          <cell r="A20">
            <v>20</v>
          </cell>
          <cell r="L20" t="str">
            <v>25;28;38;45;46;47;48;49;4;8;12;13;14;2;17;16;2;19;20;21;28;35</v>
          </cell>
        </row>
        <row r="21">
          <cell r="A21">
            <v>21</v>
          </cell>
          <cell r="L21" t="str">
            <v>25;28;38;45;46;47;48;49;4;8;12;13;14;2;17;16;2;19;20;21;28;35</v>
          </cell>
        </row>
        <row r="22">
          <cell r="A22">
            <v>22</v>
          </cell>
          <cell r="L22" t="str">
            <v xml:space="preserve">3; 16; 17; 20; 35; 38; </v>
          </cell>
        </row>
        <row r="23">
          <cell r="A23">
            <v>23</v>
          </cell>
          <cell r="L23" t="str">
            <v>18;19;32;</v>
          </cell>
        </row>
        <row r="24">
          <cell r="A24">
            <v>24</v>
          </cell>
        </row>
        <row r="25">
          <cell r="A25">
            <v>25</v>
          </cell>
          <cell r="L25" t="str">
            <v>17; 2;7;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  <cell r="L28" t="str">
            <v xml:space="preserve">2; 17; 32; </v>
          </cell>
        </row>
        <row r="29">
          <cell r="A29">
            <v>29</v>
          </cell>
        </row>
        <row r="30">
          <cell r="A30">
            <v>30</v>
          </cell>
          <cell r="L30" t="str">
            <v xml:space="preserve">3; </v>
          </cell>
        </row>
        <row r="31">
          <cell r="A31">
            <v>31</v>
          </cell>
          <cell r="L31" t="str">
            <v xml:space="preserve">18; 19; </v>
          </cell>
        </row>
        <row r="32">
          <cell r="A32">
            <v>32</v>
          </cell>
          <cell r="L32" t="str">
            <v xml:space="preserve">18; 28; 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  <cell r="L35" t="str">
            <v>22; 2;3;5;11;12;16;17;20;22;30;42;54;57;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  <cell r="L38" t="str">
            <v>16; 17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  <cell r="L44" t="str">
            <v>25;28;38;45;46;47;48;49;4;8;12;13;14;2;17;16;2;19;20;21;28;35</v>
          </cell>
        </row>
        <row r="45">
          <cell r="A45">
            <v>45</v>
          </cell>
          <cell r="L45" t="str">
            <v>25;28;38;45;46;47;48;49;4;8;12;13;14;2;17;16;2;19;20;21;28;35</v>
          </cell>
        </row>
        <row r="46">
          <cell r="A46">
            <v>46</v>
          </cell>
          <cell r="L46" t="str">
            <v>25;28;38;45;46;47;48;49;4;8;12;13;14;2;17;16;2;19;20;21;28;35</v>
          </cell>
        </row>
        <row r="47">
          <cell r="A47">
            <v>47</v>
          </cell>
          <cell r="L47" t="str">
            <v>25;28;38;45;46;47;48;49;4;8;12;13;14;2;17;16;2;19;20;21;28;35</v>
          </cell>
        </row>
        <row r="48">
          <cell r="A48">
            <v>48</v>
          </cell>
          <cell r="L48" t="str">
            <v>25;28;38;45;46;47;48;49;4;8;12;13;14;2;17;16;2;19;20;21;28;35</v>
          </cell>
        </row>
        <row r="49">
          <cell r="A49">
            <v>49</v>
          </cell>
          <cell r="L49" t="str">
            <v>25;28;38;45;46;47;48;49;4;8;12;13;14;2;17;16;2;19;20;21;28;35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  <cell r="L52" t="str">
            <v xml:space="preserve">53; </v>
          </cell>
        </row>
        <row r="53">
          <cell r="A53">
            <v>53</v>
          </cell>
          <cell r="L53" t="str">
            <v xml:space="preserve">52; </v>
          </cell>
        </row>
        <row r="54">
          <cell r="A54">
            <v>54</v>
          </cell>
          <cell r="L54" t="str">
            <v xml:space="preserve">53; </v>
          </cell>
        </row>
        <row r="55">
          <cell r="A55">
            <v>55</v>
          </cell>
          <cell r="L55" t="str">
            <v xml:space="preserve">53; </v>
          </cell>
        </row>
        <row r="56">
          <cell r="A56">
            <v>56</v>
          </cell>
          <cell r="L56" t="str">
            <v xml:space="preserve">53; </v>
          </cell>
        </row>
        <row r="57">
          <cell r="A57">
            <v>57</v>
          </cell>
          <cell r="L57" t="str">
            <v xml:space="preserve">53; </v>
          </cell>
        </row>
        <row r="58">
          <cell r="A58">
            <v>58</v>
          </cell>
          <cell r="L58" t="str">
            <v xml:space="preserve">53; </v>
          </cell>
        </row>
        <row r="59">
          <cell r="A59">
            <v>59</v>
          </cell>
          <cell r="L59" t="str">
            <v xml:space="preserve">53; </v>
          </cell>
        </row>
        <row r="60">
          <cell r="A60">
            <v>60</v>
          </cell>
          <cell r="L60" t="str">
            <v xml:space="preserve">53; </v>
          </cell>
        </row>
        <row r="61">
          <cell r="A61">
            <v>61</v>
          </cell>
          <cell r="L61" t="str">
            <v xml:space="preserve">53; </v>
          </cell>
        </row>
        <row r="62">
          <cell r="A62">
            <v>62</v>
          </cell>
          <cell r="L62" t="str">
            <v xml:space="preserve">53; </v>
          </cell>
        </row>
        <row r="63">
          <cell r="A63">
            <v>63</v>
          </cell>
          <cell r="L63" t="str">
            <v xml:space="preserve">53; </v>
          </cell>
        </row>
        <row r="64">
          <cell r="A64">
            <v>64</v>
          </cell>
          <cell r="L64" t="str">
            <v xml:space="preserve">53;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C5FE2-C324-D642-9C64-03586F6C2EE2}" name="Table3" displayName="Table3" ref="A5:Y63" totalsRowShown="0">
  <autoFilter ref="A5:Y63" xr:uid="{D86C5FE2-C324-D642-9C64-03586F6C2EE2}"/>
  <tableColumns count="25">
    <tableColumn id="24" xr3:uid="{2777EA3E-0B04-784E-89DA-CD9D7E166196}" name="ID" dataDxfId="4"/>
    <tableColumn id="25" xr3:uid="{59217E13-1384-A343-A60B-91F77413F403}" name="Cluster" dataDxfId="3"/>
    <tableColumn id="2" xr3:uid="{77243F9F-6349-A841-9366-438E6D9999EA}" name="1.1"/>
    <tableColumn id="3" xr3:uid="{B0461E26-66E9-414A-8D59-4E739D64E001}" name="1.2"/>
    <tableColumn id="4" xr3:uid="{06F89F4E-E77B-894A-B0D0-50B31D45098F}" name="1.3"/>
    <tableColumn id="5" xr3:uid="{149354C0-888A-AD4B-8CA3-8E8058CCE75E}" name="2.1"/>
    <tableColumn id="6" xr3:uid="{A255CA50-C040-7143-B0D8-1E6B1232B80B}" name="2.2"/>
    <tableColumn id="7" xr3:uid="{333CB1EB-CCA9-F040-9763-8E7AD671B5AC}" name="2.3"/>
    <tableColumn id="8" xr3:uid="{65B5CBFD-F421-6748-B277-8743C25F0617}" name="3.1"/>
    <tableColumn id="9" xr3:uid="{0D78CE62-D069-474D-B321-C35F815B865C}" name="3.2"/>
    <tableColumn id="10" xr3:uid="{D78D8731-70F8-7B48-A91F-CC988F082CAB}" name="3.3"/>
    <tableColumn id="11" xr3:uid="{9699F77D-EC8F-A74F-9013-7083ED4D1BA9}" name="4.1"/>
    <tableColumn id="12" xr3:uid="{41DE5F91-E085-9843-ADA3-C3CEFCF5B885}" name="4.2"/>
    <tableColumn id="13" xr3:uid="{D28A89A5-385E-1C41-91AC-E5F23308A76D}" name="4.3"/>
    <tableColumn id="14" xr3:uid="{D9910CFF-D897-7F46-817E-485D7503F71A}" name="5.1"/>
    <tableColumn id="15" xr3:uid="{10F8F6BD-A6A3-9047-A4AE-B59B9B2E7D7F}" name="5.2"/>
    <tableColumn id="16" xr3:uid="{BB417B5B-EB96-6246-B118-0F47CA68C09D}" name="5.3"/>
    <tableColumn id="17" xr3:uid="{3D612357-DBC0-F347-9910-DF55F7E5A8DD}" name="Inclusion Strength" dataDxfId="2"/>
    <tableColumn id="18" xr3:uid="{3DF2B552-88D6-7746-B2BB-30308E7C9821}" name="Organisation"/>
    <tableColumn id="19" xr3:uid="{F835AC6E-32C5-4341-906A-FAD9D74EE2ED}" name="What is shared"/>
    <tableColumn id="20" xr3:uid="{ACB9C2B6-DCB2-DD4D-9CD0-B0B617B9D40C}" name="How it is Shared"/>
    <tableColumn id="21" xr3:uid="{49FCE026-C3E2-6441-A42B-3B6BF169DA18}" name="Digital Share "/>
    <tableColumn id="22" xr3:uid="{ADAD1E81-8008-A148-8F27-F2E6AFECB50C}" name="urban/rural"/>
    <tableColumn id="23" xr3:uid="{8E5E8986-3FAB-3943-9DA1-E06465A4935A}" name="Nutrition Indicator" dataDxfId="1"/>
    <tableColumn id="31" xr3:uid="{E4AE24E1-1289-B34D-B735-8A985D0F836A}" name="Assemblage" dataDxfId="0">
      <calculatedColumnFormula>_xlfn.XLOOKUP(Table3[[#This Row],[ID]],[1]Data!$A:$A,[1]Data!$L:$L,"")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1FC9-B0CA-0241-A764-F06B07B40DB1}">
  <dimension ref="A1:Y63"/>
  <sheetViews>
    <sheetView topLeftCell="N7" workbookViewId="0">
      <selection activeCell="C1" sqref="C1:C1048576"/>
    </sheetView>
  </sheetViews>
  <sheetFormatPr baseColWidth="10" defaultRowHeight="16" x14ac:dyDescent="0.2"/>
  <cols>
    <col min="2" max="2" width="18.5" customWidth="1"/>
    <col min="3" max="3" width="13.6640625" customWidth="1"/>
    <col min="19" max="19" width="19.33203125" customWidth="1"/>
    <col min="20" max="20" width="14.1640625" customWidth="1"/>
    <col min="21" max="21" width="15.6640625" customWidth="1"/>
    <col min="22" max="22" width="16.5" customWidth="1"/>
    <col min="23" max="23" width="14.33203125" customWidth="1"/>
    <col min="24" max="24" width="12.6640625" customWidth="1"/>
    <col min="25" max="25" width="50.33203125" customWidth="1"/>
    <col min="26" max="26" width="16.83203125" bestFit="1" customWidth="1"/>
  </cols>
  <sheetData>
    <row r="1" spans="1:25" ht="17" thickBot="1" x14ac:dyDescent="0.25"/>
    <row r="2" spans="1:25" ht="19" x14ac:dyDescent="0.25">
      <c r="A2" s="1"/>
      <c r="B2" s="2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  <c r="V2" s="3"/>
      <c r="W2" s="3"/>
      <c r="X2" s="3"/>
      <c r="Y2" s="2" t="s">
        <v>3</v>
      </c>
    </row>
    <row r="3" spans="1:25" ht="10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 t="s">
        <v>4</v>
      </c>
      <c r="S3" s="4"/>
      <c r="T3" s="4"/>
      <c r="U3" s="4"/>
      <c r="V3" s="4"/>
      <c r="W3" s="4"/>
      <c r="X3" s="4"/>
      <c r="Y3" s="4"/>
    </row>
    <row r="4" spans="1:25" ht="19" x14ac:dyDescent="0.25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17" thickBot="1" x14ac:dyDescent="0.25">
      <c r="A5" t="s">
        <v>5</v>
      </c>
      <c r="B5" s="8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s="8" t="s">
        <v>3</v>
      </c>
    </row>
    <row r="6" spans="1:25" ht="18" thickBot="1" x14ac:dyDescent="0.25">
      <c r="A6" s="9">
        <v>5</v>
      </c>
      <c r="B6" s="10">
        <v>1</v>
      </c>
      <c r="C6">
        <v>4</v>
      </c>
      <c r="D6">
        <v>5</v>
      </c>
      <c r="E6">
        <v>3</v>
      </c>
      <c r="F6">
        <v>5</v>
      </c>
      <c r="G6">
        <v>5</v>
      </c>
      <c r="H6">
        <v>5</v>
      </c>
      <c r="I6">
        <v>4</v>
      </c>
      <c r="J6">
        <v>0</v>
      </c>
      <c r="K6">
        <v>5</v>
      </c>
      <c r="L6">
        <v>3</v>
      </c>
      <c r="M6">
        <v>4</v>
      </c>
      <c r="N6">
        <v>0</v>
      </c>
      <c r="O6">
        <v>3</v>
      </c>
      <c r="P6">
        <v>0</v>
      </c>
      <c r="Q6">
        <v>2</v>
      </c>
      <c r="R6" s="11">
        <v>3.2</v>
      </c>
      <c r="S6">
        <v>5</v>
      </c>
      <c r="T6">
        <v>2</v>
      </c>
      <c r="U6">
        <v>3</v>
      </c>
      <c r="V6">
        <v>2</v>
      </c>
      <c r="W6">
        <v>1</v>
      </c>
      <c r="X6">
        <v>1</v>
      </c>
      <c r="Y6" s="12" t="str">
        <f>_xlfn.XLOOKUP(Table3[[#This Row],[ID]],[1]Data!$A:$A,[1]Data!$L:$L,"")</f>
        <v>3;16;</v>
      </c>
    </row>
    <row r="7" spans="1:25" ht="35" thickBot="1" x14ac:dyDescent="0.25">
      <c r="A7" s="9">
        <v>16</v>
      </c>
      <c r="B7" s="13">
        <v>1</v>
      </c>
      <c r="C7">
        <v>3</v>
      </c>
      <c r="D7">
        <v>5</v>
      </c>
      <c r="E7">
        <v>0</v>
      </c>
      <c r="F7">
        <v>4</v>
      </c>
      <c r="G7">
        <v>3</v>
      </c>
      <c r="H7">
        <v>0</v>
      </c>
      <c r="I7">
        <v>5</v>
      </c>
      <c r="J7">
        <v>3</v>
      </c>
      <c r="K7">
        <v>5</v>
      </c>
      <c r="L7">
        <v>4</v>
      </c>
      <c r="M7">
        <v>4</v>
      </c>
      <c r="N7">
        <v>3</v>
      </c>
      <c r="O7">
        <v>2</v>
      </c>
      <c r="P7">
        <v>3</v>
      </c>
      <c r="Q7">
        <v>3</v>
      </c>
      <c r="R7" s="14">
        <v>3.1333333333333333</v>
      </c>
      <c r="S7">
        <v>3</v>
      </c>
      <c r="T7" t="s">
        <v>29</v>
      </c>
      <c r="U7">
        <v>2</v>
      </c>
      <c r="V7">
        <v>2</v>
      </c>
      <c r="W7">
        <v>1</v>
      </c>
      <c r="X7">
        <v>1</v>
      </c>
      <c r="Y7" s="12" t="str">
        <f>_xlfn.XLOOKUP(Table3[[#This Row],[ID]],[1]Data!$A:$A,[1]Data!$L:$L,"")</f>
        <v>2;3;22;30;45;25;28;38;45;46;47;48;49;4;8;12;13;14;2;17;16;2;19;20;21;28;35</v>
      </c>
    </row>
    <row r="8" spans="1:25" ht="35" thickBot="1" x14ac:dyDescent="0.25">
      <c r="A8" s="9">
        <v>14</v>
      </c>
      <c r="B8" s="13">
        <v>1</v>
      </c>
      <c r="C8">
        <v>5</v>
      </c>
      <c r="D8">
        <v>3</v>
      </c>
      <c r="E8">
        <v>3</v>
      </c>
      <c r="F8">
        <v>4</v>
      </c>
      <c r="G8">
        <v>3</v>
      </c>
      <c r="H8">
        <v>3</v>
      </c>
      <c r="I8">
        <v>0</v>
      </c>
      <c r="J8">
        <v>0</v>
      </c>
      <c r="K8">
        <v>3</v>
      </c>
      <c r="L8">
        <v>3</v>
      </c>
      <c r="M8">
        <v>3</v>
      </c>
      <c r="N8">
        <v>0</v>
      </c>
      <c r="O8">
        <v>3</v>
      </c>
      <c r="P8">
        <v>3</v>
      </c>
      <c r="Q8">
        <v>3</v>
      </c>
      <c r="R8" s="14">
        <v>2.6</v>
      </c>
      <c r="S8">
        <v>6</v>
      </c>
      <c r="T8" t="s">
        <v>30</v>
      </c>
      <c r="U8">
        <v>2</v>
      </c>
      <c r="V8">
        <v>2</v>
      </c>
      <c r="W8">
        <v>1</v>
      </c>
      <c r="X8">
        <v>1</v>
      </c>
      <c r="Y8" s="12" t="str">
        <f>_xlfn.XLOOKUP(Table3[[#This Row],[ID]],[1]Data!$A:$A,[1]Data!$L:$L,"")</f>
        <v>25;28;38;45;46;47;48;49;4;8;12;13;14;2;17;16;2;19;20;21;28;35</v>
      </c>
    </row>
    <row r="9" spans="1:25" ht="17" thickBot="1" x14ac:dyDescent="0.25">
      <c r="A9" s="9">
        <v>33</v>
      </c>
      <c r="B9" s="13">
        <v>1</v>
      </c>
      <c r="C9">
        <v>5</v>
      </c>
      <c r="D9">
        <v>3</v>
      </c>
      <c r="E9">
        <v>3</v>
      </c>
      <c r="F9">
        <v>4</v>
      </c>
      <c r="G9">
        <v>3</v>
      </c>
      <c r="H9">
        <v>3</v>
      </c>
      <c r="I9">
        <v>0</v>
      </c>
      <c r="J9">
        <v>0</v>
      </c>
      <c r="K9">
        <v>3</v>
      </c>
      <c r="L9">
        <v>3</v>
      </c>
      <c r="M9">
        <v>3</v>
      </c>
      <c r="N9">
        <v>0</v>
      </c>
      <c r="O9">
        <v>3</v>
      </c>
      <c r="P9">
        <v>3</v>
      </c>
      <c r="Q9">
        <v>3</v>
      </c>
      <c r="R9" s="14">
        <v>2.6</v>
      </c>
      <c r="S9">
        <v>6</v>
      </c>
      <c r="T9" t="s">
        <v>30</v>
      </c>
      <c r="U9">
        <v>2</v>
      </c>
      <c r="V9">
        <v>2</v>
      </c>
      <c r="W9">
        <v>2</v>
      </c>
      <c r="X9">
        <v>1</v>
      </c>
      <c r="Y9" s="12" t="e">
        <f>_xlfn.XLOOKUP(Table3[[#This Row],[ID]],[1]Data!$A:$A,[1]Data!$L:$L,"")</f>
        <v>#REF!</v>
      </c>
    </row>
    <row r="10" spans="1:25" ht="35" thickBot="1" x14ac:dyDescent="0.25">
      <c r="A10" s="9">
        <v>13</v>
      </c>
      <c r="B10" s="13">
        <v>1</v>
      </c>
      <c r="C10">
        <v>5</v>
      </c>
      <c r="D10">
        <v>3</v>
      </c>
      <c r="E10">
        <v>3</v>
      </c>
      <c r="F10">
        <v>3</v>
      </c>
      <c r="G10">
        <v>3</v>
      </c>
      <c r="H10">
        <v>3</v>
      </c>
      <c r="I10">
        <v>0</v>
      </c>
      <c r="J10">
        <v>0</v>
      </c>
      <c r="K10">
        <v>3</v>
      </c>
      <c r="L10">
        <v>3</v>
      </c>
      <c r="M10">
        <v>3</v>
      </c>
      <c r="N10">
        <v>0</v>
      </c>
      <c r="O10">
        <v>3</v>
      </c>
      <c r="P10">
        <v>3</v>
      </c>
      <c r="Q10">
        <v>3</v>
      </c>
      <c r="R10" s="14">
        <v>2.5333333333333332</v>
      </c>
      <c r="S10">
        <v>6</v>
      </c>
      <c r="T10" t="s">
        <v>30</v>
      </c>
      <c r="U10">
        <v>2</v>
      </c>
      <c r="V10">
        <v>2</v>
      </c>
      <c r="W10">
        <v>1</v>
      </c>
      <c r="X10">
        <v>1</v>
      </c>
      <c r="Y10" s="12" t="str">
        <f>_xlfn.XLOOKUP(Table3[[#This Row],[ID]],[1]Data!$A:$A,[1]Data!$L:$L,"")</f>
        <v>25;28;38;45;46;47;48;49;4;8;12;13;14;2;17;16;2;19;20;21;28;35</v>
      </c>
    </row>
    <row r="11" spans="1:25" ht="18" thickBot="1" x14ac:dyDescent="0.25">
      <c r="A11" s="9">
        <v>12</v>
      </c>
      <c r="B11" s="13">
        <v>1</v>
      </c>
      <c r="C11">
        <v>0</v>
      </c>
      <c r="D11">
        <v>4</v>
      </c>
      <c r="E11">
        <v>4</v>
      </c>
      <c r="F11">
        <v>0</v>
      </c>
      <c r="G11">
        <v>3</v>
      </c>
      <c r="H11">
        <v>0</v>
      </c>
      <c r="I11">
        <v>0</v>
      </c>
      <c r="J11">
        <v>0</v>
      </c>
      <c r="K11">
        <v>4</v>
      </c>
      <c r="L11">
        <v>4</v>
      </c>
      <c r="M11">
        <v>4</v>
      </c>
      <c r="N11">
        <v>0</v>
      </c>
      <c r="O11">
        <v>4</v>
      </c>
      <c r="P11">
        <v>4</v>
      </c>
      <c r="Q11">
        <v>4</v>
      </c>
      <c r="R11" s="14">
        <v>2.3333333333333335</v>
      </c>
      <c r="S11">
        <v>6</v>
      </c>
      <c r="T11">
        <v>7</v>
      </c>
      <c r="U11">
        <v>2</v>
      </c>
      <c r="V11">
        <v>2</v>
      </c>
      <c r="W11">
        <v>1</v>
      </c>
      <c r="X11">
        <v>1</v>
      </c>
      <c r="Y11" s="12" t="str">
        <f>_xlfn.XLOOKUP(Table3[[#This Row],[ID]],[1]Data!$A:$A,[1]Data!$L:$L,"")</f>
        <v>4;8;11;13;14;16;25;35;44;46;47;</v>
      </c>
    </row>
    <row r="12" spans="1:25" ht="18" thickBot="1" x14ac:dyDescent="0.25">
      <c r="A12" s="9">
        <v>3</v>
      </c>
      <c r="B12" s="13">
        <v>1</v>
      </c>
      <c r="C12">
        <v>4</v>
      </c>
      <c r="D12">
        <v>5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4</v>
      </c>
      <c r="M12">
        <v>0</v>
      </c>
      <c r="N12">
        <v>3</v>
      </c>
      <c r="O12">
        <v>3</v>
      </c>
      <c r="P12">
        <v>3</v>
      </c>
      <c r="Q12">
        <v>4</v>
      </c>
      <c r="R12" s="14">
        <v>2.2666666666666666</v>
      </c>
      <c r="S12">
        <v>3</v>
      </c>
      <c r="T12" t="s">
        <v>31</v>
      </c>
      <c r="U12">
        <v>3</v>
      </c>
      <c r="V12">
        <v>1</v>
      </c>
      <c r="W12">
        <v>4</v>
      </c>
      <c r="X12">
        <v>1</v>
      </c>
      <c r="Y12" s="12" t="str">
        <f>_xlfn.XLOOKUP(Table3[[#This Row],[ID]],[1]Data!$A:$A,[1]Data!$L:$L,"")</f>
        <v>5;7;11;16;17;22;30</v>
      </c>
    </row>
    <row r="13" spans="1:25" ht="18" thickBot="1" x14ac:dyDescent="0.25">
      <c r="A13" s="9">
        <v>35</v>
      </c>
      <c r="B13" s="13">
        <v>1</v>
      </c>
      <c r="C13">
        <v>4</v>
      </c>
      <c r="D13">
        <v>5</v>
      </c>
      <c r="E13">
        <v>4</v>
      </c>
      <c r="F13">
        <v>0</v>
      </c>
      <c r="G13">
        <v>0</v>
      </c>
      <c r="H13">
        <v>0</v>
      </c>
      <c r="I13">
        <v>4</v>
      </c>
      <c r="J13">
        <v>0</v>
      </c>
      <c r="K13">
        <v>4</v>
      </c>
      <c r="L13">
        <v>5</v>
      </c>
      <c r="M13">
        <v>4</v>
      </c>
      <c r="N13">
        <v>4</v>
      </c>
      <c r="O13">
        <v>0</v>
      </c>
      <c r="P13">
        <v>0</v>
      </c>
      <c r="Q13">
        <v>0</v>
      </c>
      <c r="R13" s="14">
        <v>2.2666666666666666</v>
      </c>
      <c r="S13">
        <v>3</v>
      </c>
      <c r="T13">
        <v>6</v>
      </c>
      <c r="U13">
        <v>2</v>
      </c>
      <c r="V13">
        <v>2</v>
      </c>
      <c r="W13">
        <v>3</v>
      </c>
      <c r="X13">
        <v>2</v>
      </c>
      <c r="Y13" s="12" t="str">
        <f>_xlfn.XLOOKUP(Table3[[#This Row],[ID]],[1]Data!$A:$A,[1]Data!$L:$L,"")</f>
        <v>22; 2;3;5;11;12;16;17;20;22;30;42;54;57;</v>
      </c>
    </row>
    <row r="14" spans="1:25" ht="35" thickBot="1" x14ac:dyDescent="0.25">
      <c r="A14" s="9">
        <v>49</v>
      </c>
      <c r="B14" s="13">
        <v>1</v>
      </c>
      <c r="C14">
        <v>4</v>
      </c>
      <c r="D14">
        <v>4</v>
      </c>
      <c r="E14">
        <v>4</v>
      </c>
      <c r="F14">
        <v>3</v>
      </c>
      <c r="G14">
        <v>4</v>
      </c>
      <c r="H14">
        <v>0</v>
      </c>
      <c r="I14">
        <v>0</v>
      </c>
      <c r="J14">
        <v>0</v>
      </c>
      <c r="K14">
        <v>4</v>
      </c>
      <c r="L14">
        <v>3</v>
      </c>
      <c r="M14">
        <v>0</v>
      </c>
      <c r="N14">
        <v>0</v>
      </c>
      <c r="O14">
        <v>4</v>
      </c>
      <c r="P14">
        <v>4</v>
      </c>
      <c r="Q14">
        <v>0</v>
      </c>
      <c r="R14" s="14">
        <v>2.2666666666666666</v>
      </c>
      <c r="S14">
        <v>3</v>
      </c>
      <c r="T14" t="s">
        <v>30</v>
      </c>
      <c r="U14">
        <v>2</v>
      </c>
      <c r="V14">
        <v>2</v>
      </c>
      <c r="W14">
        <v>1</v>
      </c>
      <c r="X14">
        <v>1</v>
      </c>
      <c r="Y14" s="12" t="str">
        <f>_xlfn.XLOOKUP(Table3[[#This Row],[ID]],[1]Data!$A:$A,[1]Data!$L:$L,"")</f>
        <v>25;28;38;45;46;47;48;49;4;8;12;13;14;2;17;16;2;19;20;21;28;35</v>
      </c>
    </row>
    <row r="15" spans="1:25" ht="35" thickBot="1" x14ac:dyDescent="0.25">
      <c r="A15" s="9">
        <v>17</v>
      </c>
      <c r="B15" s="13">
        <v>1</v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  <c r="I15">
        <v>3</v>
      </c>
      <c r="J15">
        <v>4</v>
      </c>
      <c r="K15">
        <v>4</v>
      </c>
      <c r="L15">
        <v>3</v>
      </c>
      <c r="M15">
        <v>3</v>
      </c>
      <c r="N15">
        <v>0</v>
      </c>
      <c r="O15">
        <v>4</v>
      </c>
      <c r="P15">
        <v>4</v>
      </c>
      <c r="Q15">
        <v>5</v>
      </c>
      <c r="R15" s="14">
        <v>2.2000000000000002</v>
      </c>
      <c r="S15">
        <v>6</v>
      </c>
      <c r="T15">
        <v>7</v>
      </c>
      <c r="U15">
        <v>5</v>
      </c>
      <c r="V15">
        <v>2</v>
      </c>
      <c r="W15">
        <v>3</v>
      </c>
      <c r="X15">
        <v>1</v>
      </c>
      <c r="Y15" s="12" t="str">
        <f>_xlfn.XLOOKUP(Table3[[#This Row],[ID]],[1]Data!$A:$A,[1]Data!$L:$L,"")</f>
        <v>25;28;38;45;46;47;48;49;4;8;12;13;14;2;17;16;2;19;20;21;28;35;2;3;8;15;22;23;24;31;</v>
      </c>
    </row>
    <row r="16" spans="1:25" ht="35" thickBot="1" x14ac:dyDescent="0.25">
      <c r="A16" s="9">
        <v>48</v>
      </c>
      <c r="B16" s="13">
        <v>1</v>
      </c>
      <c r="C16">
        <v>5</v>
      </c>
      <c r="D16">
        <v>5</v>
      </c>
      <c r="E16">
        <v>5</v>
      </c>
      <c r="F16">
        <v>4</v>
      </c>
      <c r="G16">
        <v>4</v>
      </c>
      <c r="H16">
        <v>0</v>
      </c>
      <c r="I16">
        <v>5</v>
      </c>
      <c r="J16">
        <v>0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14">
        <v>2.2000000000000002</v>
      </c>
      <c r="S16">
        <v>6</v>
      </c>
      <c r="T16" t="s">
        <v>30</v>
      </c>
      <c r="U16">
        <v>2</v>
      </c>
      <c r="V16">
        <v>2</v>
      </c>
      <c r="W16">
        <v>1</v>
      </c>
      <c r="X16">
        <v>1</v>
      </c>
      <c r="Y16" s="12" t="str">
        <f>_xlfn.XLOOKUP(Table3[[#This Row],[ID]],[1]Data!$A:$A,[1]Data!$L:$L,"")</f>
        <v>25;28;38;45;46;47;48;49;4;8;12;13;14;2;17;16;2;19;20;21;28;35</v>
      </c>
    </row>
    <row r="17" spans="1:25" ht="35" thickBot="1" x14ac:dyDescent="0.25">
      <c r="A17" s="9">
        <v>8</v>
      </c>
      <c r="B17" s="13">
        <v>2</v>
      </c>
      <c r="C17">
        <v>5</v>
      </c>
      <c r="D17">
        <v>3</v>
      </c>
      <c r="E17">
        <v>3</v>
      </c>
      <c r="F17">
        <v>0</v>
      </c>
      <c r="G17">
        <v>4</v>
      </c>
      <c r="H17">
        <v>5</v>
      </c>
      <c r="I17">
        <v>0</v>
      </c>
      <c r="J17">
        <v>0</v>
      </c>
      <c r="K17">
        <v>2</v>
      </c>
      <c r="L17">
        <v>3</v>
      </c>
      <c r="M17">
        <v>0</v>
      </c>
      <c r="N17">
        <v>0</v>
      </c>
      <c r="O17">
        <v>2</v>
      </c>
      <c r="P17">
        <v>0</v>
      </c>
      <c r="Q17">
        <v>2</v>
      </c>
      <c r="R17" s="14">
        <v>1.9333333333333333</v>
      </c>
      <c r="S17">
        <v>1</v>
      </c>
      <c r="T17" t="s">
        <v>32</v>
      </c>
      <c r="U17">
        <v>2</v>
      </c>
      <c r="V17">
        <v>2</v>
      </c>
      <c r="W17">
        <v>1</v>
      </c>
      <c r="X17">
        <v>1</v>
      </c>
      <c r="Y17" s="12" t="str">
        <f>_xlfn.XLOOKUP(Table3[[#This Row],[ID]],[1]Data!$A:$A,[1]Data!$L:$L,"")</f>
        <v>25;28;38;45;46;47;48;49;4;8;12;13;14;2;17;16;2;19;20;21;28;35;2</v>
      </c>
    </row>
    <row r="18" spans="1:25" ht="35" thickBot="1" x14ac:dyDescent="0.25">
      <c r="A18" s="9">
        <v>46</v>
      </c>
      <c r="B18" s="13">
        <v>2</v>
      </c>
      <c r="C18">
        <v>4</v>
      </c>
      <c r="D18">
        <v>3</v>
      </c>
      <c r="E18">
        <v>3</v>
      </c>
      <c r="F18">
        <v>1</v>
      </c>
      <c r="G18">
        <v>1</v>
      </c>
      <c r="H18">
        <v>1</v>
      </c>
      <c r="I18">
        <v>3</v>
      </c>
      <c r="J18">
        <v>0</v>
      </c>
      <c r="K18">
        <v>3</v>
      </c>
      <c r="L18">
        <v>2</v>
      </c>
      <c r="M18">
        <v>0</v>
      </c>
      <c r="N18">
        <v>0</v>
      </c>
      <c r="O18">
        <v>3</v>
      </c>
      <c r="P18">
        <v>3</v>
      </c>
      <c r="Q18">
        <v>2</v>
      </c>
      <c r="R18" s="14">
        <v>1.9333333333333333</v>
      </c>
      <c r="S18">
        <v>6</v>
      </c>
      <c r="T18" t="s">
        <v>30</v>
      </c>
      <c r="U18">
        <v>2</v>
      </c>
      <c r="V18">
        <v>2</v>
      </c>
      <c r="W18">
        <v>1</v>
      </c>
      <c r="X18">
        <v>1</v>
      </c>
      <c r="Y18" s="12" t="str">
        <f>_xlfn.XLOOKUP(Table3[[#This Row],[ID]],[1]Data!$A:$A,[1]Data!$L:$L,"")</f>
        <v>25;28;38;45;46;47;48;49;4;8;12;13;14;2;17;16;2;19;20;21;28;35</v>
      </c>
    </row>
    <row r="19" spans="1:25" ht="17" thickBot="1" x14ac:dyDescent="0.25">
      <c r="A19" s="9">
        <v>6</v>
      </c>
      <c r="B19" s="13">
        <v>2</v>
      </c>
      <c r="C19">
        <v>0</v>
      </c>
      <c r="D19">
        <v>0</v>
      </c>
      <c r="E19">
        <v>1</v>
      </c>
      <c r="F19">
        <v>3</v>
      </c>
      <c r="G19">
        <v>2</v>
      </c>
      <c r="H19">
        <v>2</v>
      </c>
      <c r="I19">
        <v>5</v>
      </c>
      <c r="J19">
        <v>4</v>
      </c>
      <c r="K19">
        <v>0</v>
      </c>
      <c r="L19">
        <v>2</v>
      </c>
      <c r="M19">
        <v>0</v>
      </c>
      <c r="N19">
        <v>0</v>
      </c>
      <c r="O19">
        <v>5</v>
      </c>
      <c r="P19">
        <v>0</v>
      </c>
      <c r="Q19">
        <v>3</v>
      </c>
      <c r="R19" s="14">
        <v>1.8</v>
      </c>
      <c r="S19">
        <v>4</v>
      </c>
      <c r="T19">
        <v>2</v>
      </c>
      <c r="U19">
        <v>4</v>
      </c>
      <c r="V19">
        <v>1</v>
      </c>
      <c r="W19">
        <v>4</v>
      </c>
      <c r="X19">
        <v>1</v>
      </c>
      <c r="Y19" s="12" t="e">
        <f>_xlfn.XLOOKUP(Table3[[#This Row],[ID]],[1]Data!$A:$A,[1]Data!$L:$L,"")</f>
        <v>#REF!</v>
      </c>
    </row>
    <row r="20" spans="1:25" ht="18" thickBot="1" x14ac:dyDescent="0.25">
      <c r="A20" s="9">
        <v>25</v>
      </c>
      <c r="B20" s="13">
        <v>2</v>
      </c>
      <c r="C20">
        <v>3</v>
      </c>
      <c r="D20">
        <v>0</v>
      </c>
      <c r="E20">
        <v>3</v>
      </c>
      <c r="F20">
        <v>2</v>
      </c>
      <c r="G20">
        <v>0</v>
      </c>
      <c r="H20">
        <v>0</v>
      </c>
      <c r="I20">
        <v>4</v>
      </c>
      <c r="J20">
        <v>0</v>
      </c>
      <c r="K20">
        <v>0</v>
      </c>
      <c r="L20">
        <v>3</v>
      </c>
      <c r="M20">
        <v>3</v>
      </c>
      <c r="N20">
        <v>0</v>
      </c>
      <c r="O20">
        <v>3</v>
      </c>
      <c r="P20">
        <v>2</v>
      </c>
      <c r="Q20">
        <v>2</v>
      </c>
      <c r="R20" s="14">
        <v>1.6666666666666667</v>
      </c>
      <c r="S20">
        <v>6</v>
      </c>
      <c r="T20" t="s">
        <v>30</v>
      </c>
      <c r="U20">
        <v>2</v>
      </c>
      <c r="V20">
        <v>2</v>
      </c>
      <c r="W20">
        <v>1</v>
      </c>
      <c r="X20">
        <v>1</v>
      </c>
      <c r="Y20" s="12" t="str">
        <f>_xlfn.XLOOKUP(Table3[[#This Row],[ID]],[1]Data!$A:$A,[1]Data!$L:$L,"")</f>
        <v>17; 2;7;</v>
      </c>
    </row>
    <row r="21" spans="1:25" ht="18" thickBot="1" x14ac:dyDescent="0.25">
      <c r="A21" s="9">
        <v>52</v>
      </c>
      <c r="B21" s="13">
        <v>2</v>
      </c>
      <c r="C21">
        <v>0</v>
      </c>
      <c r="D21">
        <v>5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0</v>
      </c>
      <c r="M21">
        <v>0</v>
      </c>
      <c r="N21">
        <v>0</v>
      </c>
      <c r="O21">
        <v>0</v>
      </c>
      <c r="P21">
        <v>5</v>
      </c>
      <c r="Q21">
        <v>4</v>
      </c>
      <c r="R21" s="14">
        <v>1.5333333333333334</v>
      </c>
      <c r="S21">
        <v>6</v>
      </c>
      <c r="T21">
        <v>8</v>
      </c>
      <c r="U21">
        <v>1</v>
      </c>
      <c r="V21">
        <v>2</v>
      </c>
      <c r="W21">
        <v>3</v>
      </c>
      <c r="X21">
        <v>2</v>
      </c>
      <c r="Y21" s="12" t="str">
        <f>_xlfn.XLOOKUP(Table3[[#This Row],[ID]],[1]Data!$A:$A,[1]Data!$L:$L,"")</f>
        <v xml:space="preserve">53; </v>
      </c>
    </row>
    <row r="22" spans="1:25" ht="18" thickBot="1" x14ac:dyDescent="0.25">
      <c r="A22" s="9">
        <v>30</v>
      </c>
      <c r="B22" s="13">
        <v>2</v>
      </c>
      <c r="C22">
        <v>0</v>
      </c>
      <c r="D22">
        <v>4</v>
      </c>
      <c r="E22">
        <v>0</v>
      </c>
      <c r="F22">
        <v>0</v>
      </c>
      <c r="G22">
        <v>0</v>
      </c>
      <c r="H22">
        <v>3</v>
      </c>
      <c r="I22">
        <v>0</v>
      </c>
      <c r="J22">
        <v>0</v>
      </c>
      <c r="K22">
        <v>5</v>
      </c>
      <c r="L22">
        <v>0</v>
      </c>
      <c r="M22">
        <v>0</v>
      </c>
      <c r="N22">
        <v>0</v>
      </c>
      <c r="O22">
        <v>3</v>
      </c>
      <c r="P22">
        <v>3</v>
      </c>
      <c r="Q22">
        <v>3</v>
      </c>
      <c r="R22" s="14">
        <v>1.4</v>
      </c>
      <c r="S22">
        <v>3</v>
      </c>
      <c r="T22" t="s">
        <v>31</v>
      </c>
      <c r="U22">
        <v>5</v>
      </c>
      <c r="V22">
        <v>1</v>
      </c>
      <c r="W22">
        <v>2</v>
      </c>
      <c r="X22">
        <v>1</v>
      </c>
      <c r="Y22" s="12" t="str">
        <f>_xlfn.XLOOKUP(Table3[[#This Row],[ID]],[1]Data!$A:$A,[1]Data!$L:$L,"")</f>
        <v xml:space="preserve">3; </v>
      </c>
    </row>
    <row r="23" spans="1:25" ht="18" thickBot="1" x14ac:dyDescent="0.25">
      <c r="A23" s="9">
        <v>64</v>
      </c>
      <c r="B23" s="13">
        <v>2</v>
      </c>
      <c r="C23">
        <v>5</v>
      </c>
      <c r="D23">
        <v>4</v>
      </c>
      <c r="E23">
        <v>5</v>
      </c>
      <c r="F23">
        <v>0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 s="14">
        <v>1.4</v>
      </c>
      <c r="S23">
        <v>5</v>
      </c>
      <c r="T23">
        <v>8</v>
      </c>
      <c r="U23">
        <v>1</v>
      </c>
      <c r="V23">
        <v>2</v>
      </c>
      <c r="W23">
        <v>2</v>
      </c>
      <c r="X23">
        <v>2</v>
      </c>
      <c r="Y23" s="12" t="str">
        <f>_xlfn.XLOOKUP(Table3[[#This Row],[ID]],[1]Data!$A:$A,[1]Data!$L:$L,"")</f>
        <v xml:space="preserve">53; </v>
      </c>
    </row>
    <row r="24" spans="1:25" ht="17" thickBot="1" x14ac:dyDescent="0.25">
      <c r="A24" s="9">
        <v>42</v>
      </c>
      <c r="B24" s="13">
        <v>2</v>
      </c>
      <c r="C24">
        <v>4</v>
      </c>
      <c r="D24">
        <v>4</v>
      </c>
      <c r="E24">
        <v>4</v>
      </c>
      <c r="F24">
        <v>0</v>
      </c>
      <c r="G24">
        <v>0</v>
      </c>
      <c r="H24">
        <v>0</v>
      </c>
      <c r="I24">
        <v>3</v>
      </c>
      <c r="J24">
        <v>0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14">
        <v>1.3333333333333333</v>
      </c>
      <c r="S24">
        <v>2</v>
      </c>
      <c r="T24">
        <v>6</v>
      </c>
      <c r="U24">
        <v>2</v>
      </c>
      <c r="V24">
        <v>2</v>
      </c>
      <c r="W24">
        <v>3</v>
      </c>
      <c r="X24">
        <v>2</v>
      </c>
      <c r="Y24" s="12" t="e">
        <f>_xlfn.XLOOKUP(Table3[[#This Row],[ID]],[1]Data!$A:$A,[1]Data!$L:$L,"")</f>
        <v>#REF!</v>
      </c>
    </row>
    <row r="25" spans="1:25" ht="35" thickBot="1" x14ac:dyDescent="0.25">
      <c r="A25" s="9">
        <v>45</v>
      </c>
      <c r="B25" s="13">
        <v>2</v>
      </c>
      <c r="C25">
        <v>1</v>
      </c>
      <c r="D25">
        <v>1</v>
      </c>
      <c r="E25">
        <v>3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2</v>
      </c>
      <c r="M25">
        <v>2</v>
      </c>
      <c r="N25">
        <v>2</v>
      </c>
      <c r="O25">
        <v>3</v>
      </c>
      <c r="P25">
        <v>3</v>
      </c>
      <c r="Q25">
        <v>0</v>
      </c>
      <c r="R25" s="14">
        <v>1.3333333333333333</v>
      </c>
      <c r="S25">
        <v>6</v>
      </c>
      <c r="T25" t="s">
        <v>33</v>
      </c>
      <c r="U25">
        <v>2</v>
      </c>
      <c r="V25">
        <v>2</v>
      </c>
      <c r="W25">
        <v>1</v>
      </c>
      <c r="X25">
        <v>1</v>
      </c>
      <c r="Y25" s="12" t="str">
        <f>_xlfn.XLOOKUP(Table3[[#This Row],[ID]],[1]Data!$A:$A,[1]Data!$L:$L,"")</f>
        <v>25;28;38;45;46;47;48;49;4;8;12;13;14;2;17;16;2;19;20;21;28;35</v>
      </c>
    </row>
    <row r="26" spans="1:25" ht="35" thickBot="1" x14ac:dyDescent="0.25">
      <c r="A26" s="9">
        <v>19</v>
      </c>
      <c r="B26" s="13">
        <v>2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2</v>
      </c>
      <c r="O26">
        <v>4</v>
      </c>
      <c r="P26">
        <v>4</v>
      </c>
      <c r="Q26">
        <v>4</v>
      </c>
      <c r="R26" s="14">
        <v>1.2666666666666666</v>
      </c>
      <c r="S26">
        <v>4</v>
      </c>
      <c r="T26" t="s">
        <v>34</v>
      </c>
      <c r="U26">
        <v>4</v>
      </c>
      <c r="V26">
        <v>2</v>
      </c>
      <c r="W26">
        <v>2</v>
      </c>
      <c r="X26">
        <v>1</v>
      </c>
      <c r="Y26" s="12" t="str">
        <f>_xlfn.XLOOKUP(Table3[[#This Row],[ID]],[1]Data!$A:$A,[1]Data!$L:$L,"")</f>
        <v>25;28;38;45;46;47;48;49;4;8;12;13;14;2;17;16;2;19;20;21;28;35</v>
      </c>
    </row>
    <row r="27" spans="1:25" ht="35" thickBot="1" x14ac:dyDescent="0.25">
      <c r="A27" s="9">
        <v>20</v>
      </c>
      <c r="B27" s="13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3</v>
      </c>
      <c r="J27">
        <v>0</v>
      </c>
      <c r="K27">
        <v>0</v>
      </c>
      <c r="L27">
        <v>2</v>
      </c>
      <c r="M27">
        <v>0</v>
      </c>
      <c r="N27">
        <v>0</v>
      </c>
      <c r="O27">
        <v>5</v>
      </c>
      <c r="P27">
        <v>3</v>
      </c>
      <c r="Q27">
        <v>4</v>
      </c>
      <c r="R27" s="14">
        <v>1.2666666666666666</v>
      </c>
      <c r="S27">
        <v>4</v>
      </c>
      <c r="T27" t="s">
        <v>34</v>
      </c>
      <c r="U27">
        <v>4</v>
      </c>
      <c r="V27">
        <v>2</v>
      </c>
      <c r="W27">
        <v>2</v>
      </c>
      <c r="X27">
        <v>1</v>
      </c>
      <c r="Y27" s="12" t="str">
        <f>_xlfn.XLOOKUP(Table3[[#This Row],[ID]],[1]Data!$A:$A,[1]Data!$L:$L,"")</f>
        <v>25;28;38;45;46;47;48;49;4;8;12;13;14;2;17;16;2;19;20;21;28;35</v>
      </c>
    </row>
    <row r="28" spans="1:25" ht="18" thickBot="1" x14ac:dyDescent="0.25">
      <c r="A28" s="9">
        <v>11</v>
      </c>
      <c r="B28" s="13">
        <v>2</v>
      </c>
      <c r="C28">
        <v>4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4</v>
      </c>
      <c r="L28">
        <v>0</v>
      </c>
      <c r="M28">
        <v>0</v>
      </c>
      <c r="N28">
        <v>0</v>
      </c>
      <c r="O28">
        <v>0</v>
      </c>
      <c r="P28">
        <v>3</v>
      </c>
      <c r="Q28">
        <v>0</v>
      </c>
      <c r="R28" s="14">
        <v>1.2</v>
      </c>
      <c r="S28">
        <v>3</v>
      </c>
      <c r="T28" t="s">
        <v>35</v>
      </c>
      <c r="U28">
        <v>1</v>
      </c>
      <c r="V28">
        <v>2</v>
      </c>
      <c r="W28">
        <v>1</v>
      </c>
      <c r="X28">
        <v>1</v>
      </c>
      <c r="Y28" s="12" t="str">
        <f>_xlfn.XLOOKUP(Table3[[#This Row],[ID]],[1]Data!$A:$A,[1]Data!$L:$L,"")</f>
        <v>4;8;16;35;13;14;25;44;45;46;47;</v>
      </c>
    </row>
    <row r="29" spans="1:25" ht="18" thickBot="1" x14ac:dyDescent="0.25">
      <c r="A29" s="9">
        <v>54</v>
      </c>
      <c r="B29" s="13">
        <v>2</v>
      </c>
      <c r="C29">
        <v>0</v>
      </c>
      <c r="D29">
        <v>4</v>
      </c>
      <c r="E29">
        <v>4</v>
      </c>
      <c r="F29">
        <v>1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3</v>
      </c>
      <c r="Q29">
        <v>2</v>
      </c>
      <c r="R29" s="14">
        <v>1.2</v>
      </c>
      <c r="S29">
        <v>5</v>
      </c>
      <c r="T29">
        <v>8</v>
      </c>
      <c r="U29">
        <v>1</v>
      </c>
      <c r="V29">
        <v>2</v>
      </c>
      <c r="W29">
        <v>2</v>
      </c>
      <c r="X29">
        <v>2</v>
      </c>
      <c r="Y29" s="12" t="str">
        <f>_xlfn.XLOOKUP(Table3[[#This Row],[ID]],[1]Data!$A:$A,[1]Data!$L:$L,"")</f>
        <v xml:space="preserve">53; </v>
      </c>
    </row>
    <row r="30" spans="1:25" ht="18" thickBot="1" x14ac:dyDescent="0.25">
      <c r="A30" s="9">
        <v>9</v>
      </c>
      <c r="B30" s="13">
        <v>2</v>
      </c>
      <c r="C30">
        <v>4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>
        <v>2</v>
      </c>
      <c r="N30">
        <v>0</v>
      </c>
      <c r="O30">
        <v>4</v>
      </c>
      <c r="P30">
        <v>1</v>
      </c>
      <c r="Q30">
        <v>0</v>
      </c>
      <c r="R30" s="14">
        <v>1.1333333333333333</v>
      </c>
      <c r="S30">
        <v>6</v>
      </c>
      <c r="T30" t="s">
        <v>30</v>
      </c>
      <c r="U30">
        <v>2</v>
      </c>
      <c r="V30">
        <v>2</v>
      </c>
      <c r="W30">
        <v>2</v>
      </c>
      <c r="X30">
        <v>1</v>
      </c>
      <c r="Y30" s="12" t="str">
        <f>_xlfn.XLOOKUP(Table3[[#This Row],[ID]],[1]Data!$A:$A,[1]Data!$L:$L,"")</f>
        <v>54;</v>
      </c>
    </row>
    <row r="31" spans="1:25" ht="17" thickBot="1" x14ac:dyDescent="0.25">
      <c r="A31" s="9">
        <v>43</v>
      </c>
      <c r="B31" s="13">
        <v>2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4</v>
      </c>
      <c r="Q31">
        <v>4</v>
      </c>
      <c r="R31" s="14">
        <v>1.1333333333333333</v>
      </c>
      <c r="S31">
        <v>4</v>
      </c>
      <c r="T31">
        <v>2</v>
      </c>
      <c r="U31">
        <v>4</v>
      </c>
      <c r="V31">
        <v>2</v>
      </c>
      <c r="W31">
        <v>2</v>
      </c>
      <c r="X31">
        <v>1</v>
      </c>
      <c r="Y31" s="12" t="e">
        <f>_xlfn.XLOOKUP(Table3[[#This Row],[ID]],[1]Data!$A:$A,[1]Data!$L:$L,"")</f>
        <v>#REF!</v>
      </c>
    </row>
    <row r="32" spans="1:25" ht="18" thickBot="1" x14ac:dyDescent="0.25">
      <c r="A32" s="9">
        <v>57</v>
      </c>
      <c r="B32" s="13">
        <v>2</v>
      </c>
      <c r="C32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  <c r="R32" s="14">
        <v>1.0666666666666667</v>
      </c>
      <c r="S32">
        <v>3</v>
      </c>
      <c r="T32">
        <v>8</v>
      </c>
      <c r="U32">
        <v>1</v>
      </c>
      <c r="V32">
        <v>2</v>
      </c>
      <c r="W32">
        <v>2</v>
      </c>
      <c r="X32">
        <v>2</v>
      </c>
      <c r="Y32" s="12" t="str">
        <f>_xlfn.XLOOKUP(Table3[[#This Row],[ID]],[1]Data!$A:$A,[1]Data!$L:$L,"")</f>
        <v xml:space="preserve">53; </v>
      </c>
    </row>
    <row r="33" spans="1:25" ht="18" thickBot="1" x14ac:dyDescent="0.25">
      <c r="A33" s="9">
        <v>18</v>
      </c>
      <c r="B33" s="1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>
        <v>4</v>
      </c>
      <c r="P33">
        <v>4</v>
      </c>
      <c r="Q33">
        <v>3</v>
      </c>
      <c r="R33" s="14">
        <v>1</v>
      </c>
      <c r="S33">
        <v>4</v>
      </c>
      <c r="T33" t="s">
        <v>34</v>
      </c>
      <c r="U33">
        <v>4</v>
      </c>
      <c r="V33">
        <v>2</v>
      </c>
      <c r="W33">
        <v>2</v>
      </c>
      <c r="X33">
        <v>1</v>
      </c>
      <c r="Y33" s="12" t="str">
        <f>_xlfn.XLOOKUP(Table3[[#This Row],[ID]],[1]Data!$A:$A,[1]Data!$L:$L,"")</f>
        <v xml:space="preserve">32; </v>
      </c>
    </row>
    <row r="34" spans="1:25" ht="18" thickBot="1" x14ac:dyDescent="0.25">
      <c r="A34" s="9">
        <v>22</v>
      </c>
      <c r="B34" s="13">
        <v>2</v>
      </c>
      <c r="C34">
        <v>1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5</v>
      </c>
      <c r="O34">
        <v>0</v>
      </c>
      <c r="P34">
        <v>0</v>
      </c>
      <c r="Q34">
        <v>3</v>
      </c>
      <c r="R34" s="14">
        <v>1</v>
      </c>
      <c r="S34">
        <v>5</v>
      </c>
      <c r="T34" t="s">
        <v>36</v>
      </c>
      <c r="U34">
        <v>1</v>
      </c>
      <c r="V34">
        <v>2</v>
      </c>
      <c r="W34">
        <v>2</v>
      </c>
      <c r="X34">
        <v>1</v>
      </c>
      <c r="Y34" s="12" t="str">
        <f>_xlfn.XLOOKUP(Table3[[#This Row],[ID]],[1]Data!$A:$A,[1]Data!$L:$L,"")</f>
        <v xml:space="preserve">3; 16; 17; 20; 35; 38; </v>
      </c>
    </row>
    <row r="35" spans="1:25" ht="18" thickBot="1" x14ac:dyDescent="0.25">
      <c r="A35" s="9">
        <v>32</v>
      </c>
      <c r="B35" s="13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4</v>
      </c>
      <c r="P35">
        <v>4</v>
      </c>
      <c r="Q35">
        <v>5</v>
      </c>
      <c r="R35" s="14">
        <v>1</v>
      </c>
      <c r="S35">
        <v>6</v>
      </c>
      <c r="T35">
        <v>7</v>
      </c>
      <c r="U35">
        <v>1</v>
      </c>
      <c r="V35">
        <v>2</v>
      </c>
      <c r="W35">
        <v>4</v>
      </c>
      <c r="X35">
        <v>1</v>
      </c>
      <c r="Y35" s="12" t="str">
        <f>_xlfn.XLOOKUP(Table3[[#This Row],[ID]],[1]Data!$A:$A,[1]Data!$L:$L,"")</f>
        <v xml:space="preserve">18; 28; </v>
      </c>
    </row>
    <row r="36" spans="1:25" ht="17" thickBot="1" x14ac:dyDescent="0.25">
      <c r="A36" s="9">
        <v>34</v>
      </c>
      <c r="B36" s="13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3</v>
      </c>
      <c r="O36">
        <v>3</v>
      </c>
      <c r="P36">
        <v>3</v>
      </c>
      <c r="Q36">
        <v>0</v>
      </c>
      <c r="R36" s="14">
        <v>1</v>
      </c>
      <c r="S36">
        <v>6</v>
      </c>
      <c r="T36" t="s">
        <v>30</v>
      </c>
      <c r="U36">
        <v>4</v>
      </c>
      <c r="V36">
        <v>2</v>
      </c>
      <c r="W36">
        <v>2</v>
      </c>
      <c r="X36">
        <v>1</v>
      </c>
      <c r="Y36" s="12" t="e">
        <f>_xlfn.XLOOKUP(Table3[[#This Row],[ID]],[1]Data!$A:$A,[1]Data!$L:$L,"")</f>
        <v>#REF!</v>
      </c>
    </row>
    <row r="37" spans="1:25" ht="18" thickBot="1" x14ac:dyDescent="0.25">
      <c r="A37" s="9">
        <v>53</v>
      </c>
      <c r="B37" s="13">
        <v>2</v>
      </c>
      <c r="C37">
        <v>0</v>
      </c>
      <c r="D37">
        <v>3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0</v>
      </c>
      <c r="M37">
        <v>0</v>
      </c>
      <c r="N37">
        <v>0</v>
      </c>
      <c r="O37">
        <v>0</v>
      </c>
      <c r="P37">
        <v>4</v>
      </c>
      <c r="Q37">
        <v>2</v>
      </c>
      <c r="R37" s="14">
        <v>1</v>
      </c>
      <c r="S37">
        <v>6</v>
      </c>
      <c r="T37">
        <v>8</v>
      </c>
      <c r="U37">
        <v>1</v>
      </c>
      <c r="V37">
        <v>2</v>
      </c>
      <c r="W37">
        <v>2</v>
      </c>
      <c r="X37">
        <v>2</v>
      </c>
      <c r="Y37" s="12" t="str">
        <f>_xlfn.XLOOKUP(Table3[[#This Row],[ID]],[1]Data!$A:$A,[1]Data!$L:$L,"")</f>
        <v xml:space="preserve">52; </v>
      </c>
    </row>
    <row r="38" spans="1:25" ht="18" thickBot="1" x14ac:dyDescent="0.25">
      <c r="A38" s="9">
        <v>59</v>
      </c>
      <c r="B38" s="13">
        <v>2</v>
      </c>
      <c r="C38">
        <v>0</v>
      </c>
      <c r="D38">
        <v>4</v>
      </c>
      <c r="E38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4</v>
      </c>
      <c r="Q38">
        <v>0</v>
      </c>
      <c r="R38" s="14">
        <v>1</v>
      </c>
      <c r="S38">
        <v>3</v>
      </c>
      <c r="T38">
        <v>8</v>
      </c>
      <c r="U38">
        <v>1</v>
      </c>
      <c r="V38">
        <v>2</v>
      </c>
      <c r="W38">
        <v>2</v>
      </c>
      <c r="X38">
        <v>2</v>
      </c>
      <c r="Y38" s="12" t="str">
        <f>_xlfn.XLOOKUP(Table3[[#This Row],[ID]],[1]Data!$A:$A,[1]Data!$L:$L,"")</f>
        <v xml:space="preserve">53; </v>
      </c>
    </row>
    <row r="39" spans="1:25" ht="35" thickBot="1" x14ac:dyDescent="0.25">
      <c r="A39" s="9">
        <v>21</v>
      </c>
      <c r="B39" s="13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4</v>
      </c>
      <c r="P39">
        <v>4</v>
      </c>
      <c r="Q39">
        <v>3</v>
      </c>
      <c r="R39" s="14">
        <v>0.8666666666666667</v>
      </c>
      <c r="S39">
        <v>4</v>
      </c>
      <c r="T39" t="s">
        <v>34</v>
      </c>
      <c r="U39">
        <v>4</v>
      </c>
      <c r="V39">
        <v>2</v>
      </c>
      <c r="W39">
        <v>2</v>
      </c>
      <c r="X39">
        <v>1</v>
      </c>
      <c r="Y39" s="12" t="str">
        <f>_xlfn.XLOOKUP(Table3[[#This Row],[ID]],[1]Data!$A:$A,[1]Data!$L:$L,"")</f>
        <v>25;28;38;45;46;47;48;49;4;8;12;13;14;2;17;16;2;19;20;21;28;35</v>
      </c>
    </row>
    <row r="40" spans="1:25" ht="18" thickBot="1" x14ac:dyDescent="0.25">
      <c r="A40" s="9">
        <v>23</v>
      </c>
      <c r="B40" s="13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2</v>
      </c>
      <c r="O40">
        <v>4</v>
      </c>
      <c r="P40">
        <v>4</v>
      </c>
      <c r="Q40">
        <v>0</v>
      </c>
      <c r="R40" s="14">
        <v>0.73333333333333328</v>
      </c>
      <c r="S40">
        <v>4</v>
      </c>
      <c r="T40" t="s">
        <v>34</v>
      </c>
      <c r="U40">
        <v>6</v>
      </c>
      <c r="V40">
        <v>2</v>
      </c>
      <c r="W40">
        <v>2</v>
      </c>
      <c r="X40">
        <v>1</v>
      </c>
      <c r="Y40" s="12" t="str">
        <f>_xlfn.XLOOKUP(Table3[[#This Row],[ID]],[1]Data!$A:$A,[1]Data!$L:$L,"")</f>
        <v>18;19;32;</v>
      </c>
    </row>
    <row r="41" spans="1:25" ht="17" thickBot="1" x14ac:dyDescent="0.25">
      <c r="A41" s="9">
        <v>39</v>
      </c>
      <c r="B41" s="13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4</v>
      </c>
      <c r="P41">
        <v>4</v>
      </c>
      <c r="Q41">
        <v>0</v>
      </c>
      <c r="R41" s="14">
        <v>0.73333333333333328</v>
      </c>
      <c r="S41">
        <v>4</v>
      </c>
      <c r="T41">
        <v>6</v>
      </c>
      <c r="U41">
        <v>4</v>
      </c>
      <c r="V41">
        <v>2</v>
      </c>
      <c r="W41">
        <v>2</v>
      </c>
      <c r="X41">
        <v>1</v>
      </c>
      <c r="Y41" s="12" t="e">
        <f>_xlfn.XLOOKUP(Table3[[#This Row],[ID]],[1]Data!$A:$A,[1]Data!$L:$L,"")</f>
        <v>#REF!</v>
      </c>
    </row>
    <row r="42" spans="1:25" ht="18" thickBot="1" x14ac:dyDescent="0.25">
      <c r="A42" s="9">
        <v>56</v>
      </c>
      <c r="B42" s="13">
        <v>3</v>
      </c>
      <c r="C42">
        <v>1</v>
      </c>
      <c r="D42">
        <v>1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3</v>
      </c>
      <c r="Q42">
        <v>1</v>
      </c>
      <c r="R42" s="14">
        <v>0.73333333333333328</v>
      </c>
      <c r="S42">
        <v>5</v>
      </c>
      <c r="T42">
        <v>8</v>
      </c>
      <c r="U42">
        <v>1</v>
      </c>
      <c r="V42">
        <v>2</v>
      </c>
      <c r="W42">
        <v>2</v>
      </c>
      <c r="X42">
        <v>2</v>
      </c>
      <c r="Y42" s="12" t="str">
        <f>_xlfn.XLOOKUP(Table3[[#This Row],[ID]],[1]Data!$A:$A,[1]Data!$L:$L,"")</f>
        <v xml:space="preserve">53; </v>
      </c>
    </row>
    <row r="43" spans="1:25" ht="35" thickBot="1" x14ac:dyDescent="0.25">
      <c r="A43" s="9">
        <v>2</v>
      </c>
      <c r="B43" s="13">
        <v>3</v>
      </c>
      <c r="C43">
        <v>0</v>
      </c>
      <c r="D43">
        <v>0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3</v>
      </c>
      <c r="R43" s="14">
        <v>0.66666666666666663</v>
      </c>
      <c r="S43">
        <v>1</v>
      </c>
      <c r="T43">
        <v>8</v>
      </c>
      <c r="U43">
        <v>1</v>
      </c>
      <c r="V43">
        <v>2</v>
      </c>
      <c r="W43">
        <v>1</v>
      </c>
      <c r="X43">
        <v>1</v>
      </c>
      <c r="Y43" s="12" t="str">
        <f>_xlfn.XLOOKUP(Table3[[#This Row],[ID]],[1]Data!$A:$A,[1]Data!$L:$L,"")</f>
        <v>25;28;38;45;46;47;48;49;4;8;12;13;14;2;17;16;2;19;20;21;28;35</v>
      </c>
    </row>
    <row r="44" spans="1:25" ht="18" thickBot="1" x14ac:dyDescent="0.25">
      <c r="A44" s="9">
        <v>15</v>
      </c>
      <c r="B44" s="13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3</v>
      </c>
      <c r="Q44">
        <v>3</v>
      </c>
      <c r="R44" s="14">
        <v>0.66666666666666663</v>
      </c>
      <c r="S44">
        <v>4</v>
      </c>
      <c r="T44" t="s">
        <v>37</v>
      </c>
      <c r="U44">
        <v>4</v>
      </c>
      <c r="V44">
        <v>2</v>
      </c>
      <c r="W44">
        <v>2</v>
      </c>
      <c r="X44">
        <v>1</v>
      </c>
      <c r="Y44" s="12" t="str">
        <f>_xlfn.XLOOKUP(Table3[[#This Row],[ID]],[1]Data!$A:$A,[1]Data!$L:$L,"")</f>
        <v xml:space="preserve">17; 20; </v>
      </c>
    </row>
    <row r="45" spans="1:25" ht="17" thickBot="1" x14ac:dyDescent="0.25">
      <c r="A45" s="9">
        <v>24</v>
      </c>
      <c r="B45" s="13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3</v>
      </c>
      <c r="Q45">
        <v>3</v>
      </c>
      <c r="R45" s="14">
        <v>0.66666666666666663</v>
      </c>
      <c r="S45">
        <v>4</v>
      </c>
      <c r="T45" t="s">
        <v>38</v>
      </c>
      <c r="U45">
        <v>4</v>
      </c>
      <c r="V45">
        <v>2</v>
      </c>
      <c r="W45">
        <v>2</v>
      </c>
      <c r="X45">
        <v>1</v>
      </c>
      <c r="Y45" s="12" t="e">
        <f>_xlfn.XLOOKUP(Table3[[#This Row],[ID]],[1]Data!$A:$A,[1]Data!$L:$L,"")</f>
        <v>#REF!</v>
      </c>
    </row>
    <row r="46" spans="1:25" ht="17" thickBot="1" x14ac:dyDescent="0.25">
      <c r="A46" s="9">
        <v>26</v>
      </c>
      <c r="B46" s="13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3</v>
      </c>
      <c r="Q46">
        <v>3</v>
      </c>
      <c r="R46" s="14">
        <v>0.66666666666666663</v>
      </c>
      <c r="S46">
        <v>4</v>
      </c>
      <c r="T46">
        <v>2</v>
      </c>
      <c r="U46">
        <v>4</v>
      </c>
      <c r="V46">
        <v>2</v>
      </c>
      <c r="W46">
        <v>2</v>
      </c>
      <c r="X46">
        <v>1</v>
      </c>
      <c r="Y46" s="12" t="e">
        <f>_xlfn.XLOOKUP(Table3[[#This Row],[ID]],[1]Data!$A:$A,[1]Data!$L:$L,"")</f>
        <v>#REF!</v>
      </c>
    </row>
    <row r="47" spans="1:25" ht="17" thickBot="1" x14ac:dyDescent="0.25">
      <c r="A47" s="9">
        <v>27</v>
      </c>
      <c r="B47" s="13">
        <v>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</v>
      </c>
      <c r="P47">
        <v>3</v>
      </c>
      <c r="Q47">
        <v>3</v>
      </c>
      <c r="R47" s="14">
        <v>0.66666666666666663</v>
      </c>
      <c r="S47">
        <v>4</v>
      </c>
      <c r="T47">
        <v>2</v>
      </c>
      <c r="U47">
        <v>4</v>
      </c>
      <c r="V47">
        <v>1</v>
      </c>
      <c r="W47">
        <v>2</v>
      </c>
      <c r="X47">
        <v>2</v>
      </c>
      <c r="Y47" s="12" t="e">
        <f>_xlfn.XLOOKUP(Table3[[#This Row],[ID]],[1]Data!$A:$A,[1]Data!$L:$L,"")</f>
        <v>#REF!</v>
      </c>
    </row>
    <row r="48" spans="1:25" ht="18" thickBot="1" x14ac:dyDescent="0.25">
      <c r="A48" s="9">
        <v>28</v>
      </c>
      <c r="B48" s="13">
        <v>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</v>
      </c>
      <c r="P48">
        <v>3</v>
      </c>
      <c r="Q48">
        <v>3</v>
      </c>
      <c r="R48" s="14">
        <v>0.66666666666666663</v>
      </c>
      <c r="S48">
        <v>4</v>
      </c>
      <c r="T48" t="s">
        <v>39</v>
      </c>
      <c r="U48">
        <v>4</v>
      </c>
      <c r="V48">
        <v>2</v>
      </c>
      <c r="W48">
        <v>2</v>
      </c>
      <c r="X48">
        <v>2</v>
      </c>
      <c r="Y48" s="12" t="str">
        <f>_xlfn.XLOOKUP(Table3[[#This Row],[ID]],[1]Data!$A:$A,[1]Data!$L:$L,"")</f>
        <v xml:space="preserve">2; 17; 32; </v>
      </c>
    </row>
    <row r="49" spans="1:25" ht="17" thickBot="1" x14ac:dyDescent="0.25">
      <c r="A49" s="9">
        <v>29</v>
      </c>
      <c r="B49" s="13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  <c r="P49">
        <v>3</v>
      </c>
      <c r="Q49">
        <v>3</v>
      </c>
      <c r="R49" s="14">
        <v>0.66666666666666663</v>
      </c>
      <c r="S49">
        <v>4</v>
      </c>
      <c r="T49">
        <v>2</v>
      </c>
      <c r="U49">
        <v>4</v>
      </c>
      <c r="V49">
        <v>2</v>
      </c>
      <c r="W49">
        <v>2</v>
      </c>
      <c r="X49">
        <v>1</v>
      </c>
      <c r="Y49" s="12" t="e">
        <f>_xlfn.XLOOKUP(Table3[[#This Row],[ID]],[1]Data!$A:$A,[1]Data!$L:$L,"")</f>
        <v>#REF!</v>
      </c>
    </row>
    <row r="50" spans="1:25" ht="17" thickBot="1" x14ac:dyDescent="0.25">
      <c r="A50" s="9">
        <v>36</v>
      </c>
      <c r="B50" s="13">
        <v>3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2</v>
      </c>
      <c r="P50">
        <v>2</v>
      </c>
      <c r="Q50">
        <v>0</v>
      </c>
      <c r="R50" s="14">
        <v>0.66666666666666663</v>
      </c>
      <c r="S50">
        <v>6</v>
      </c>
      <c r="T50" t="s">
        <v>30</v>
      </c>
      <c r="U50">
        <v>5</v>
      </c>
      <c r="V50">
        <v>2</v>
      </c>
      <c r="W50">
        <v>2</v>
      </c>
      <c r="X50">
        <v>1</v>
      </c>
      <c r="Y50" s="12" t="e">
        <f>_xlfn.XLOOKUP(Table3[[#This Row],[ID]],[1]Data!$A:$A,[1]Data!$L:$L,"")</f>
        <v>#REF!</v>
      </c>
    </row>
    <row r="51" spans="1:25" ht="17" thickBot="1" x14ac:dyDescent="0.25">
      <c r="A51" s="9">
        <v>41</v>
      </c>
      <c r="B51" s="13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</v>
      </c>
      <c r="P51">
        <v>4</v>
      </c>
      <c r="Q51">
        <v>2</v>
      </c>
      <c r="R51" s="14">
        <v>0.66666666666666663</v>
      </c>
      <c r="S51">
        <v>4</v>
      </c>
      <c r="T51" t="s">
        <v>31</v>
      </c>
      <c r="U51">
        <v>4</v>
      </c>
      <c r="V51">
        <v>2</v>
      </c>
      <c r="W51">
        <v>2</v>
      </c>
      <c r="X51">
        <v>1</v>
      </c>
      <c r="Y51" s="12" t="e">
        <f>_xlfn.XLOOKUP(Table3[[#This Row],[ID]],[1]Data!$A:$A,[1]Data!$L:$L,"")</f>
        <v>#REF!</v>
      </c>
    </row>
    <row r="52" spans="1:25" ht="18" thickBot="1" x14ac:dyDescent="0.25">
      <c r="A52" s="9">
        <v>31</v>
      </c>
      <c r="B52" s="13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3</v>
      </c>
      <c r="Q52">
        <v>3</v>
      </c>
      <c r="R52" s="14">
        <v>0.6</v>
      </c>
      <c r="S52">
        <v>4</v>
      </c>
      <c r="T52" t="s">
        <v>37</v>
      </c>
      <c r="U52">
        <v>4</v>
      </c>
      <c r="V52">
        <v>2</v>
      </c>
      <c r="W52">
        <v>2</v>
      </c>
      <c r="X52">
        <v>1</v>
      </c>
      <c r="Y52" s="12" t="str">
        <f>_xlfn.XLOOKUP(Table3[[#This Row],[ID]],[1]Data!$A:$A,[1]Data!$L:$L,"")</f>
        <v xml:space="preserve">18; 19; </v>
      </c>
    </row>
    <row r="53" spans="1:25" ht="35" thickBot="1" x14ac:dyDescent="0.25">
      <c r="A53" s="9">
        <v>47</v>
      </c>
      <c r="B53" s="13">
        <v>3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2</v>
      </c>
      <c r="P53">
        <v>2</v>
      </c>
      <c r="Q53">
        <v>0</v>
      </c>
      <c r="R53" s="14">
        <v>0.6</v>
      </c>
      <c r="S53">
        <v>6</v>
      </c>
      <c r="T53" t="s">
        <v>30</v>
      </c>
      <c r="U53">
        <v>2</v>
      </c>
      <c r="V53">
        <v>2</v>
      </c>
      <c r="W53">
        <v>1</v>
      </c>
      <c r="X53">
        <v>1</v>
      </c>
      <c r="Y53" s="12" t="str">
        <f>_xlfn.XLOOKUP(Table3[[#This Row],[ID]],[1]Data!$A:$A,[1]Data!$L:$L,"")</f>
        <v>25;28;38;45;46;47;48;49;4;8;12;13;14;2;17;16;2;19;20;21;28;35</v>
      </c>
    </row>
    <row r="54" spans="1:25" ht="17" thickBot="1" x14ac:dyDescent="0.25">
      <c r="A54" s="9">
        <v>50</v>
      </c>
      <c r="B54" s="13">
        <v>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3</v>
      </c>
      <c r="Q54">
        <v>3</v>
      </c>
      <c r="R54" s="14">
        <v>0.6</v>
      </c>
      <c r="S54">
        <v>4</v>
      </c>
      <c r="T54">
        <v>2</v>
      </c>
      <c r="U54">
        <v>4</v>
      </c>
      <c r="V54">
        <v>2</v>
      </c>
      <c r="W54">
        <v>2</v>
      </c>
      <c r="X54">
        <v>1</v>
      </c>
      <c r="Y54" s="12" t="e">
        <f>_xlfn.XLOOKUP(Table3[[#This Row],[ID]],[1]Data!$A:$A,[1]Data!$L:$L,"")</f>
        <v>#REF!</v>
      </c>
    </row>
    <row r="55" spans="1:25" ht="35" thickBot="1" x14ac:dyDescent="0.25">
      <c r="A55" s="9">
        <v>4</v>
      </c>
      <c r="B55" s="13">
        <v>3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2</v>
      </c>
      <c r="R55" s="14">
        <v>0.53333333333333333</v>
      </c>
      <c r="S55">
        <v>1</v>
      </c>
      <c r="T55" t="s">
        <v>30</v>
      </c>
      <c r="U55">
        <v>2</v>
      </c>
      <c r="V55">
        <v>2</v>
      </c>
      <c r="W55">
        <v>1</v>
      </c>
      <c r="X55">
        <v>1</v>
      </c>
      <c r="Y55" s="12" t="str">
        <f>_xlfn.XLOOKUP(Table3[[#This Row],[ID]],[1]Data!$A:$A,[1]Data!$L:$L,"")</f>
        <v>25;28;38;45;46;47;48;49;4;8;12;13;14;2;17;16;2;19;20;21;28;35</v>
      </c>
    </row>
    <row r="56" spans="1:25" ht="18" thickBot="1" x14ac:dyDescent="0.25">
      <c r="A56" s="9">
        <v>7</v>
      </c>
      <c r="B56" s="13">
        <v>3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</v>
      </c>
      <c r="P56">
        <v>0</v>
      </c>
      <c r="Q56">
        <v>2</v>
      </c>
      <c r="R56" s="14">
        <v>0.46666666666666667</v>
      </c>
      <c r="S56">
        <v>6</v>
      </c>
      <c r="T56">
        <v>2</v>
      </c>
      <c r="U56">
        <v>3</v>
      </c>
      <c r="V56">
        <v>2</v>
      </c>
      <c r="W56">
        <v>1</v>
      </c>
      <c r="X56">
        <v>1</v>
      </c>
      <c r="Y56" s="12" t="str">
        <f>_xlfn.XLOOKUP(Table3[[#This Row],[ID]],[1]Data!$A:$A,[1]Data!$L:$L,"")</f>
        <v xml:space="preserve">3; </v>
      </c>
    </row>
    <row r="57" spans="1:25" ht="17" thickBot="1" x14ac:dyDescent="0.25">
      <c r="A57" s="9">
        <v>40</v>
      </c>
      <c r="B57" s="13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  <c r="P57">
        <v>0</v>
      </c>
      <c r="Q57">
        <v>3</v>
      </c>
      <c r="R57" s="14">
        <v>0.4</v>
      </c>
      <c r="S57">
        <v>4</v>
      </c>
      <c r="T57">
        <v>2</v>
      </c>
      <c r="U57">
        <v>4</v>
      </c>
      <c r="V57">
        <v>2</v>
      </c>
      <c r="W57">
        <v>2</v>
      </c>
      <c r="X57">
        <v>1</v>
      </c>
      <c r="Y57" s="12" t="e">
        <f>_xlfn.XLOOKUP(Table3[[#This Row],[ID]],[1]Data!$A:$A,[1]Data!$L:$L,"")</f>
        <v>#REF!</v>
      </c>
    </row>
    <row r="58" spans="1:25" ht="17" thickBot="1" x14ac:dyDescent="0.25">
      <c r="A58" s="9">
        <v>51</v>
      </c>
      <c r="B58" s="13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</v>
      </c>
      <c r="P58">
        <v>3</v>
      </c>
      <c r="Q58">
        <v>0</v>
      </c>
      <c r="R58" s="14">
        <v>0.4</v>
      </c>
      <c r="S58">
        <v>6</v>
      </c>
      <c r="T58">
        <v>2</v>
      </c>
      <c r="U58">
        <v>2</v>
      </c>
      <c r="V58">
        <v>2</v>
      </c>
      <c r="W58">
        <v>1</v>
      </c>
      <c r="X58">
        <v>1</v>
      </c>
      <c r="Y58" s="12" t="e">
        <f>_xlfn.XLOOKUP(Table3[[#This Row],[ID]],[1]Data!$A:$A,[1]Data!$L:$L,"")</f>
        <v>#REF!</v>
      </c>
    </row>
    <row r="59" spans="1:25" ht="18" thickBot="1" x14ac:dyDescent="0.25">
      <c r="A59" s="9">
        <v>10</v>
      </c>
      <c r="B59" s="13">
        <v>3</v>
      </c>
      <c r="C59">
        <v>0</v>
      </c>
      <c r="D59">
        <v>0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 s="14">
        <v>0.33333333333333331</v>
      </c>
      <c r="S59">
        <v>6</v>
      </c>
      <c r="T59" t="s">
        <v>40</v>
      </c>
      <c r="U59">
        <v>2</v>
      </c>
      <c r="V59">
        <v>2</v>
      </c>
      <c r="W59">
        <v>4</v>
      </c>
      <c r="X59">
        <v>1</v>
      </c>
      <c r="Y59" s="12" t="str">
        <f>_xlfn.XLOOKUP(Table3[[#This Row],[ID]],[1]Data!$A:$A,[1]Data!$L:$L,"")</f>
        <v>3;8;16;49;52;</v>
      </c>
    </row>
    <row r="60" spans="1:25" ht="18" thickBot="1" x14ac:dyDescent="0.25">
      <c r="A60" s="9">
        <v>60</v>
      </c>
      <c r="B60" s="13">
        <v>3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0</v>
      </c>
      <c r="R60" s="14">
        <v>0.33333333333333331</v>
      </c>
      <c r="S60">
        <v>3</v>
      </c>
      <c r="T60">
        <v>8</v>
      </c>
      <c r="U60">
        <v>1</v>
      </c>
      <c r="V60">
        <v>2</v>
      </c>
      <c r="W60">
        <v>2</v>
      </c>
      <c r="X60">
        <v>2</v>
      </c>
      <c r="Y60" s="12" t="str">
        <f>_xlfn.XLOOKUP(Table3[[#This Row],[ID]],[1]Data!$A:$A,[1]Data!$L:$L,"")</f>
        <v xml:space="preserve">53; </v>
      </c>
    </row>
    <row r="61" spans="1:25" ht="18" thickBot="1" x14ac:dyDescent="0.25">
      <c r="A61" s="9">
        <v>61</v>
      </c>
      <c r="B61" s="13">
        <v>3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 s="14">
        <v>0.33333333333333331</v>
      </c>
      <c r="S61">
        <v>5</v>
      </c>
      <c r="T61">
        <v>8</v>
      </c>
      <c r="U61">
        <v>1</v>
      </c>
      <c r="V61">
        <v>2</v>
      </c>
      <c r="W61">
        <v>2</v>
      </c>
      <c r="X61">
        <v>2</v>
      </c>
      <c r="Y61" s="12" t="str">
        <f>_xlfn.XLOOKUP(Table3[[#This Row],[ID]],[1]Data!$A:$A,[1]Data!$L:$L,"")</f>
        <v xml:space="preserve">53; </v>
      </c>
    </row>
    <row r="62" spans="1:25" ht="18" thickBot="1" x14ac:dyDescent="0.25">
      <c r="A62" s="9">
        <v>38</v>
      </c>
      <c r="B62" s="13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</v>
      </c>
      <c r="P62">
        <v>0</v>
      </c>
      <c r="Q62">
        <v>0</v>
      </c>
      <c r="R62" s="14">
        <v>0.26666666666666666</v>
      </c>
      <c r="S62">
        <v>4</v>
      </c>
      <c r="T62">
        <v>3</v>
      </c>
      <c r="U62">
        <v>2</v>
      </c>
      <c r="V62">
        <v>2</v>
      </c>
      <c r="W62">
        <v>3</v>
      </c>
      <c r="X62">
        <v>1</v>
      </c>
      <c r="Y62" s="12" t="str">
        <f>_xlfn.XLOOKUP(Table3[[#This Row],[ID]],[1]Data!$A:$A,[1]Data!$L:$L,"")</f>
        <v>16; 17</v>
      </c>
    </row>
    <row r="63" spans="1:25" ht="17" thickBot="1" x14ac:dyDescent="0.25">
      <c r="A63" s="9">
        <v>37</v>
      </c>
      <c r="B63" s="15">
        <v>3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2</v>
      </c>
      <c r="P63" s="16">
        <v>0</v>
      </c>
      <c r="Q63" s="16">
        <v>0</v>
      </c>
      <c r="R63" s="17">
        <v>0.13333333333333333</v>
      </c>
      <c r="S63" s="16">
        <v>6</v>
      </c>
      <c r="T63" s="16" t="s">
        <v>30</v>
      </c>
      <c r="U63" s="16">
        <v>2</v>
      </c>
      <c r="V63" s="16">
        <v>2</v>
      </c>
      <c r="W63" s="16">
        <v>2</v>
      </c>
      <c r="X63" s="16">
        <v>1</v>
      </c>
      <c r="Y63" s="12" t="e">
        <f>_xlfn.XLOOKUP(Table3[[#This Row],[ID]],[1]Data!$A:$A,[1]Data!$L:$L,"")</f>
        <v>#REF!</v>
      </c>
    </row>
  </sheetData>
  <mergeCells count="2">
    <mergeCell ref="C2:R2"/>
    <mergeCell ref="S2:X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BE7C-18C5-5A41-A89F-CE27471A7D42}">
  <dimension ref="A1:B16"/>
  <sheetViews>
    <sheetView workbookViewId="0">
      <selection activeCell="D22" sqref="D22"/>
    </sheetView>
  </sheetViews>
  <sheetFormatPr baseColWidth="10" defaultRowHeight="16" x14ac:dyDescent="0.2"/>
  <cols>
    <col min="1" max="1" width="21.1640625" customWidth="1"/>
    <col min="2" max="2" width="43.5" customWidth="1"/>
  </cols>
  <sheetData>
    <row r="1" spans="1:2" x14ac:dyDescent="0.2">
      <c r="A1" s="28" t="s">
        <v>56</v>
      </c>
      <c r="B1" s="28" t="s">
        <v>57</v>
      </c>
    </row>
    <row r="2" spans="1:2" x14ac:dyDescent="0.2">
      <c r="A2" t="s">
        <v>7</v>
      </c>
      <c r="B2" t="s">
        <v>58</v>
      </c>
    </row>
    <row r="3" spans="1:2" x14ac:dyDescent="0.2">
      <c r="A3" t="s">
        <v>8</v>
      </c>
      <c r="B3" t="s">
        <v>59</v>
      </c>
    </row>
    <row r="4" spans="1:2" x14ac:dyDescent="0.2">
      <c r="A4" t="s">
        <v>9</v>
      </c>
      <c r="B4" t="s">
        <v>60</v>
      </c>
    </row>
    <row r="5" spans="1:2" x14ac:dyDescent="0.2">
      <c r="A5" t="s">
        <v>10</v>
      </c>
      <c r="B5" t="s">
        <v>61</v>
      </c>
    </row>
    <row r="6" spans="1:2" x14ac:dyDescent="0.2">
      <c r="A6" t="s">
        <v>11</v>
      </c>
      <c r="B6" t="s">
        <v>62</v>
      </c>
    </row>
    <row r="7" spans="1:2" x14ac:dyDescent="0.2">
      <c r="A7" t="s">
        <v>12</v>
      </c>
      <c r="B7" t="s">
        <v>63</v>
      </c>
    </row>
    <row r="8" spans="1:2" x14ac:dyDescent="0.2">
      <c r="A8" t="s">
        <v>13</v>
      </c>
      <c r="B8" t="s">
        <v>64</v>
      </c>
    </row>
    <row r="9" spans="1:2" x14ac:dyDescent="0.2">
      <c r="A9" t="s">
        <v>14</v>
      </c>
      <c r="B9" t="s">
        <v>65</v>
      </c>
    </row>
    <row r="10" spans="1:2" x14ac:dyDescent="0.2">
      <c r="A10" t="s">
        <v>15</v>
      </c>
      <c r="B10" t="s">
        <v>66</v>
      </c>
    </row>
    <row r="11" spans="1:2" x14ac:dyDescent="0.2">
      <c r="A11" t="s">
        <v>16</v>
      </c>
      <c r="B11" t="s">
        <v>67</v>
      </c>
    </row>
    <row r="12" spans="1:2" x14ac:dyDescent="0.2">
      <c r="A12" t="s">
        <v>17</v>
      </c>
      <c r="B12" t="s">
        <v>68</v>
      </c>
    </row>
    <row r="13" spans="1:2" x14ac:dyDescent="0.2">
      <c r="A13" t="s">
        <v>18</v>
      </c>
      <c r="B13" t="s">
        <v>69</v>
      </c>
    </row>
    <row r="14" spans="1:2" x14ac:dyDescent="0.2">
      <c r="A14" t="s">
        <v>19</v>
      </c>
      <c r="B14" t="s">
        <v>70</v>
      </c>
    </row>
    <row r="15" spans="1:2" x14ac:dyDescent="0.2">
      <c r="A15" t="s">
        <v>20</v>
      </c>
      <c r="B15" t="s">
        <v>71</v>
      </c>
    </row>
    <row r="16" spans="1:2" x14ac:dyDescent="0.2">
      <c r="A16" t="s">
        <v>21</v>
      </c>
      <c r="B1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99A-D7D9-4145-A13A-19849C9ABBAD}">
  <dimension ref="A1:D17"/>
  <sheetViews>
    <sheetView tabSelected="1" workbookViewId="0">
      <selection activeCell="F4" sqref="F4"/>
    </sheetView>
  </sheetViews>
  <sheetFormatPr baseColWidth="10" defaultRowHeight="16" x14ac:dyDescent="0.2"/>
  <cols>
    <col min="1" max="1" width="21.6640625" customWidth="1"/>
    <col min="4" max="4" width="21" customWidth="1"/>
  </cols>
  <sheetData>
    <row r="1" spans="1:4" x14ac:dyDescent="0.2">
      <c r="A1" s="18" t="s">
        <v>41</v>
      </c>
    </row>
    <row r="2" spans="1:4" ht="17" thickBot="1" x14ac:dyDescent="0.25">
      <c r="A2" s="19"/>
    </row>
    <row r="3" spans="1:4" ht="70" thickTop="1" thickBot="1" x14ac:dyDescent="0.25">
      <c r="A3" s="20" t="s">
        <v>42</v>
      </c>
      <c r="B3" s="20" t="s">
        <v>43</v>
      </c>
      <c r="C3" s="20" t="s">
        <v>44</v>
      </c>
      <c r="D3" s="20" t="s">
        <v>45</v>
      </c>
    </row>
    <row r="4" spans="1:4" ht="35" thickTop="1" x14ac:dyDescent="0.2">
      <c r="A4" s="21" t="s">
        <v>23</v>
      </c>
      <c r="B4" s="22">
        <v>18.812000000000001</v>
      </c>
      <c r="C4" s="22">
        <v>10</v>
      </c>
      <c r="D4" s="22">
        <v>4.2999999999999997E-2</v>
      </c>
    </row>
    <row r="5" spans="1:4" ht="34" x14ac:dyDescent="0.2">
      <c r="A5" s="21" t="s">
        <v>25</v>
      </c>
      <c r="B5" s="22">
        <v>24.442</v>
      </c>
      <c r="C5" s="22">
        <v>10</v>
      </c>
      <c r="D5" s="22">
        <v>7.0000000000000001E-3</v>
      </c>
    </row>
    <row r="6" spans="1:4" ht="34" x14ac:dyDescent="0.2">
      <c r="A6" s="21" t="s">
        <v>46</v>
      </c>
      <c r="B6" s="22">
        <v>0.57399999999999995</v>
      </c>
      <c r="C6" s="22">
        <v>2</v>
      </c>
      <c r="D6" s="22">
        <v>0.75</v>
      </c>
    </row>
    <row r="7" spans="1:4" ht="17" x14ac:dyDescent="0.2">
      <c r="A7" s="21" t="s">
        <v>27</v>
      </c>
      <c r="B7" s="22">
        <v>13.391</v>
      </c>
      <c r="C7" s="22">
        <v>6</v>
      </c>
      <c r="D7" s="22">
        <v>3.6999999999999998E-2</v>
      </c>
    </row>
    <row r="8" spans="1:4" ht="35" thickBot="1" x14ac:dyDescent="0.25">
      <c r="A8" s="23" t="s">
        <v>47</v>
      </c>
      <c r="B8" s="24">
        <v>2.3250000000000002</v>
      </c>
      <c r="C8" s="24">
        <v>2</v>
      </c>
      <c r="D8" s="24">
        <v>0.313</v>
      </c>
    </row>
    <row r="9" spans="1:4" ht="17" thickTop="1" x14ac:dyDescent="0.2">
      <c r="A9" s="19"/>
    </row>
    <row r="11" spans="1:4" ht="34" x14ac:dyDescent="0.2">
      <c r="A11" s="25" t="s">
        <v>48</v>
      </c>
    </row>
    <row r="12" spans="1:4" x14ac:dyDescent="0.2">
      <c r="A12" s="26" t="s">
        <v>49</v>
      </c>
      <c r="B12" s="26" t="s">
        <v>50</v>
      </c>
    </row>
    <row r="13" spans="1:4" x14ac:dyDescent="0.2">
      <c r="A13" s="27">
        <v>1</v>
      </c>
      <c r="B13" s="27" t="s">
        <v>51</v>
      </c>
    </row>
    <row r="14" spans="1:4" x14ac:dyDescent="0.2">
      <c r="A14" s="27">
        <v>2</v>
      </c>
      <c r="B14" s="27" t="s">
        <v>52</v>
      </c>
    </row>
    <row r="15" spans="1:4" x14ac:dyDescent="0.2">
      <c r="A15" s="27">
        <v>3</v>
      </c>
      <c r="B15" s="27" t="s">
        <v>53</v>
      </c>
    </row>
    <row r="16" spans="1:4" x14ac:dyDescent="0.2">
      <c r="A16" s="27">
        <v>4</v>
      </c>
      <c r="B16" s="27" t="s">
        <v>54</v>
      </c>
    </row>
    <row r="17" spans="1:2" x14ac:dyDescent="0.2">
      <c r="A17" s="27">
        <v>5</v>
      </c>
      <c r="B17" s="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Indicators</vt:lpstr>
      <vt:lpstr>Stat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Davey, Claire</dc:creator>
  <cp:lastModifiedBy>Davey, Claire</cp:lastModifiedBy>
  <dcterms:created xsi:type="dcterms:W3CDTF">2026-02-04T18:41:34Z</dcterms:created>
  <dcterms:modified xsi:type="dcterms:W3CDTF">2026-02-04T18:49:19Z</dcterms:modified>
</cp:coreProperties>
</file>